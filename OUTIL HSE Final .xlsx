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68673BE-4159-4E2B-B933-58976B6DF992}" xr6:coauthVersionLast="47" xr6:coauthVersionMax="47" xr10:uidLastSave="{00000000-0000-0000-0000-000000000000}"/>
  <workbookProtection workbookAlgorithmName="SHA-512" workbookHashValue="YkbxST6YQHHsYE89z2w2QGfUuevtMNgN+Fm7liWsmsBOIdG75/xKGZpNDvCis/krn/UUF0xYF7Up3/NYv0ROgg==" workbookSaltValue="PMU1GnZe4W+sdqdNDvHUnw==" workbookSpinCount="100000" lockStructure="1"/>
  <bookViews>
    <workbookView xWindow="-120" yWindow="-120" windowWidth="24240" windowHeight="13140" activeTab="3" xr2:uid="{002E0343-D81B-440D-A57C-32A2DB09C2FD}"/>
  </bookViews>
  <sheets>
    <sheet name="GUIDE" sheetId="1" r:id="rId1"/>
    <sheet name="REFERENTIEL" sheetId="2" r:id="rId2"/>
    <sheet name="IMPORT" sheetId="3" r:id="rId3"/>
    <sheet name="SAISIE" sheetId="4" r:id="rId4"/>
    <sheet name="CALCUL" sheetId="5" r:id="rId5"/>
    <sheet name="RAPPORT" sheetId="6" r:id="rId6"/>
    <sheet name="SUIVI" sheetId="7" r:id="rId7"/>
  </sheets>
  <definedNames>
    <definedName name="IMP_DONNEES">OFFSET(IMPORT!$A$1,0,0,1000,1000)</definedName>
    <definedName name="IMP_ENTETES">OFFSET(IMPORT!$A$1,0,0,1,1000)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9" i="4" s="1"/>
  <c r="B100" i="6" l="1"/>
  <c r="A42" i="6" l="1"/>
  <c r="A41" i="6"/>
  <c r="A40" i="6"/>
  <c r="A39" i="6"/>
  <c r="A32" i="6"/>
  <c r="A33" i="6"/>
  <c r="A34" i="6"/>
  <c r="A31" i="6"/>
  <c r="B5" i="6"/>
  <c r="B5" i="7" s="1"/>
  <c r="B4" i="6"/>
  <c r="A5" i="7" s="1"/>
  <c r="J21" i="4"/>
  <c r="U5" i="5"/>
  <c r="U6" i="5"/>
  <c r="U7" i="5"/>
  <c r="U8" i="5"/>
  <c r="U9" i="5"/>
  <c r="U10" i="5"/>
  <c r="U11" i="5"/>
  <c r="U12" i="5"/>
  <c r="U13" i="5"/>
  <c r="U14" i="5"/>
  <c r="U15" i="5"/>
  <c r="U4" i="5"/>
  <c r="M5" i="5"/>
  <c r="N5" i="5"/>
  <c r="M6" i="5"/>
  <c r="N6" i="5"/>
  <c r="M7" i="5"/>
  <c r="N7" i="5"/>
  <c r="M8" i="5"/>
  <c r="N8" i="5"/>
  <c r="M9" i="5"/>
  <c r="N9" i="5"/>
  <c r="M10" i="5"/>
  <c r="N10" i="5"/>
  <c r="M11" i="5"/>
  <c r="N11" i="5"/>
  <c r="M12" i="5"/>
  <c r="N12" i="5"/>
  <c r="M13" i="5"/>
  <c r="N13" i="5"/>
  <c r="M14" i="5"/>
  <c r="N14" i="5"/>
  <c r="M15" i="5"/>
  <c r="N15" i="5"/>
  <c r="M16" i="5"/>
  <c r="N16" i="5"/>
  <c r="M17" i="5"/>
  <c r="N17" i="5"/>
  <c r="M18" i="5"/>
  <c r="N18" i="5"/>
  <c r="M19" i="5"/>
  <c r="N19" i="5"/>
  <c r="M20" i="5"/>
  <c r="N20" i="5"/>
  <c r="M21" i="5"/>
  <c r="N21" i="5"/>
  <c r="M22" i="5"/>
  <c r="N22" i="5"/>
  <c r="M23" i="5"/>
  <c r="N23" i="5"/>
  <c r="M24" i="5"/>
  <c r="N24" i="5"/>
  <c r="M25" i="5"/>
  <c r="N25" i="5"/>
  <c r="M26" i="5"/>
  <c r="N26" i="5"/>
  <c r="M27" i="5"/>
  <c r="N27" i="5"/>
  <c r="M28" i="5"/>
  <c r="N28" i="5"/>
  <c r="M29" i="5"/>
  <c r="N29" i="5"/>
  <c r="M30" i="5"/>
  <c r="N30" i="5"/>
  <c r="M31" i="5"/>
  <c r="N31" i="5"/>
  <c r="M32" i="5"/>
  <c r="N32" i="5"/>
  <c r="M33" i="5"/>
  <c r="N33" i="5"/>
  <c r="M34" i="5"/>
  <c r="N34" i="5"/>
  <c r="M35" i="5"/>
  <c r="N35" i="5"/>
  <c r="M36" i="5"/>
  <c r="N36" i="5"/>
  <c r="N4" i="5"/>
  <c r="M4" i="5"/>
  <c r="L6" i="5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5" i="5"/>
  <c r="L4" i="5"/>
  <c r="A5" i="5"/>
  <c r="B5" i="5"/>
  <c r="C5" i="5"/>
  <c r="D5" i="5"/>
  <c r="E5" i="5"/>
  <c r="F5" i="5"/>
  <c r="A6" i="5"/>
  <c r="B6" i="5"/>
  <c r="C6" i="5"/>
  <c r="D6" i="5"/>
  <c r="E6" i="5"/>
  <c r="F6" i="5"/>
  <c r="A7" i="5"/>
  <c r="B7" i="5"/>
  <c r="C7" i="5"/>
  <c r="D7" i="5"/>
  <c r="E7" i="5"/>
  <c r="F7" i="5"/>
  <c r="A8" i="5"/>
  <c r="B8" i="5"/>
  <c r="C8" i="5"/>
  <c r="D8" i="5"/>
  <c r="E8" i="5"/>
  <c r="F8" i="5"/>
  <c r="A9" i="5"/>
  <c r="B9" i="5"/>
  <c r="C9" i="5"/>
  <c r="D9" i="5"/>
  <c r="E9" i="5"/>
  <c r="F9" i="5"/>
  <c r="A10" i="5"/>
  <c r="B10" i="5"/>
  <c r="C10" i="5"/>
  <c r="D10" i="5"/>
  <c r="E10" i="5"/>
  <c r="F10" i="5"/>
  <c r="A11" i="5"/>
  <c r="B11" i="5"/>
  <c r="C11" i="5"/>
  <c r="D11" i="5"/>
  <c r="E11" i="5"/>
  <c r="F11" i="5"/>
  <c r="A12" i="5"/>
  <c r="B12" i="5"/>
  <c r="C12" i="5"/>
  <c r="D12" i="5"/>
  <c r="E12" i="5"/>
  <c r="F12" i="5"/>
  <c r="A13" i="5"/>
  <c r="B13" i="5"/>
  <c r="C13" i="5"/>
  <c r="D13" i="5"/>
  <c r="E13" i="5"/>
  <c r="F13" i="5"/>
  <c r="A14" i="5"/>
  <c r="B14" i="5"/>
  <c r="C14" i="5"/>
  <c r="D14" i="5"/>
  <c r="E14" i="5"/>
  <c r="F14" i="5"/>
  <c r="A15" i="5"/>
  <c r="B15" i="5"/>
  <c r="C15" i="5"/>
  <c r="D15" i="5"/>
  <c r="E15" i="5"/>
  <c r="F15" i="5"/>
  <c r="A16" i="5"/>
  <c r="B16" i="5"/>
  <c r="C16" i="5"/>
  <c r="D16" i="5"/>
  <c r="E16" i="5"/>
  <c r="F16" i="5"/>
  <c r="A17" i="5"/>
  <c r="B17" i="5"/>
  <c r="C17" i="5"/>
  <c r="D17" i="5"/>
  <c r="E17" i="5"/>
  <c r="F17" i="5"/>
  <c r="A18" i="5"/>
  <c r="B18" i="5"/>
  <c r="C18" i="5"/>
  <c r="D18" i="5"/>
  <c r="E18" i="5"/>
  <c r="F18" i="5"/>
  <c r="A19" i="5"/>
  <c r="B19" i="5"/>
  <c r="C19" i="5"/>
  <c r="D19" i="5"/>
  <c r="E19" i="5"/>
  <c r="F19" i="5"/>
  <c r="A20" i="5"/>
  <c r="B20" i="5"/>
  <c r="C20" i="5"/>
  <c r="D20" i="5"/>
  <c r="E20" i="5"/>
  <c r="F20" i="5"/>
  <c r="A21" i="5"/>
  <c r="B21" i="5"/>
  <c r="C21" i="5"/>
  <c r="D21" i="5"/>
  <c r="E21" i="5"/>
  <c r="F21" i="5"/>
  <c r="A22" i="5"/>
  <c r="B22" i="5"/>
  <c r="C22" i="5"/>
  <c r="D22" i="5"/>
  <c r="E22" i="5"/>
  <c r="F22" i="5"/>
  <c r="A23" i="5"/>
  <c r="B23" i="5"/>
  <c r="C23" i="5"/>
  <c r="D23" i="5"/>
  <c r="E23" i="5"/>
  <c r="F23" i="5"/>
  <c r="A24" i="5"/>
  <c r="B24" i="5"/>
  <c r="C24" i="5"/>
  <c r="D24" i="5"/>
  <c r="E24" i="5"/>
  <c r="F24" i="5"/>
  <c r="A25" i="5"/>
  <c r="B25" i="5"/>
  <c r="C25" i="5"/>
  <c r="D25" i="5"/>
  <c r="E25" i="5"/>
  <c r="F25" i="5"/>
  <c r="A26" i="5"/>
  <c r="B26" i="5"/>
  <c r="C26" i="5"/>
  <c r="D26" i="5"/>
  <c r="E26" i="5"/>
  <c r="F26" i="5"/>
  <c r="A27" i="5"/>
  <c r="B27" i="5"/>
  <c r="C27" i="5"/>
  <c r="D27" i="5"/>
  <c r="E27" i="5"/>
  <c r="F27" i="5"/>
  <c r="A28" i="5"/>
  <c r="B28" i="5"/>
  <c r="C28" i="5"/>
  <c r="D28" i="5"/>
  <c r="E28" i="5"/>
  <c r="F28" i="5"/>
  <c r="A29" i="5"/>
  <c r="B29" i="5"/>
  <c r="C29" i="5"/>
  <c r="D29" i="5"/>
  <c r="E29" i="5"/>
  <c r="F29" i="5"/>
  <c r="A30" i="5"/>
  <c r="B30" i="5"/>
  <c r="C30" i="5"/>
  <c r="D30" i="5"/>
  <c r="E30" i="5"/>
  <c r="F30" i="5"/>
  <c r="A31" i="5"/>
  <c r="B31" i="5"/>
  <c r="C31" i="5"/>
  <c r="D31" i="5"/>
  <c r="E31" i="5"/>
  <c r="F31" i="5"/>
  <c r="A32" i="5"/>
  <c r="B32" i="5"/>
  <c r="C32" i="5"/>
  <c r="D32" i="5"/>
  <c r="E32" i="5"/>
  <c r="F32" i="5"/>
  <c r="A33" i="5"/>
  <c r="B33" i="5"/>
  <c r="C33" i="5"/>
  <c r="D33" i="5"/>
  <c r="E33" i="5"/>
  <c r="F33" i="5"/>
  <c r="A34" i="5"/>
  <c r="B34" i="5"/>
  <c r="C34" i="5"/>
  <c r="D34" i="5"/>
  <c r="E34" i="5"/>
  <c r="F34" i="5"/>
  <c r="A35" i="5"/>
  <c r="B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2" i="5"/>
  <c r="B42" i="5"/>
  <c r="C42" i="5"/>
  <c r="D42" i="5"/>
  <c r="E42" i="5"/>
  <c r="F42" i="5"/>
  <c r="A43" i="5"/>
  <c r="B43" i="5"/>
  <c r="C43" i="5"/>
  <c r="D43" i="5"/>
  <c r="E43" i="5"/>
  <c r="F43" i="5"/>
  <c r="A44" i="5"/>
  <c r="B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A50" i="5"/>
  <c r="B50" i="5"/>
  <c r="C50" i="5"/>
  <c r="D50" i="5"/>
  <c r="E50" i="5"/>
  <c r="F50" i="5"/>
  <c r="A51" i="5"/>
  <c r="B51" i="5"/>
  <c r="C51" i="5"/>
  <c r="D51" i="5"/>
  <c r="E51" i="5"/>
  <c r="F51" i="5"/>
  <c r="A52" i="5"/>
  <c r="B52" i="5"/>
  <c r="C52" i="5"/>
  <c r="D52" i="5"/>
  <c r="E52" i="5"/>
  <c r="F52" i="5"/>
  <c r="A53" i="5"/>
  <c r="B53" i="5"/>
  <c r="C53" i="5"/>
  <c r="D53" i="5"/>
  <c r="E53" i="5"/>
  <c r="F53" i="5"/>
  <c r="A54" i="5"/>
  <c r="B54" i="5"/>
  <c r="C54" i="5"/>
  <c r="D54" i="5"/>
  <c r="E54" i="5"/>
  <c r="F54" i="5"/>
  <c r="A55" i="5"/>
  <c r="B55" i="5"/>
  <c r="C55" i="5"/>
  <c r="D55" i="5"/>
  <c r="E55" i="5"/>
  <c r="F55" i="5"/>
  <c r="A56" i="5"/>
  <c r="B56" i="5"/>
  <c r="C56" i="5"/>
  <c r="D56" i="5"/>
  <c r="E56" i="5"/>
  <c r="F56" i="5"/>
  <c r="A57" i="5"/>
  <c r="B57" i="5"/>
  <c r="C57" i="5"/>
  <c r="D57" i="5"/>
  <c r="E57" i="5"/>
  <c r="F57" i="5"/>
  <c r="A58" i="5"/>
  <c r="B58" i="5"/>
  <c r="C58" i="5"/>
  <c r="D58" i="5"/>
  <c r="E58" i="5"/>
  <c r="F58" i="5"/>
  <c r="A59" i="5"/>
  <c r="B59" i="5"/>
  <c r="C59" i="5"/>
  <c r="D59" i="5"/>
  <c r="E59" i="5"/>
  <c r="F59" i="5"/>
  <c r="A60" i="5"/>
  <c r="B60" i="5"/>
  <c r="C60" i="5"/>
  <c r="D60" i="5"/>
  <c r="E60" i="5"/>
  <c r="F60" i="5"/>
  <c r="A61" i="5"/>
  <c r="B61" i="5"/>
  <c r="C61" i="5"/>
  <c r="D61" i="5"/>
  <c r="E61" i="5"/>
  <c r="F61" i="5"/>
  <c r="A62" i="5"/>
  <c r="B62" i="5"/>
  <c r="C62" i="5"/>
  <c r="D62" i="5"/>
  <c r="E62" i="5"/>
  <c r="F62" i="5"/>
  <c r="A63" i="5"/>
  <c r="B63" i="5"/>
  <c r="C63" i="5"/>
  <c r="D63" i="5"/>
  <c r="E63" i="5"/>
  <c r="F63" i="5"/>
  <c r="A64" i="5"/>
  <c r="B64" i="5"/>
  <c r="C64" i="5"/>
  <c r="D64" i="5"/>
  <c r="E64" i="5"/>
  <c r="F64" i="5"/>
  <c r="A65" i="5"/>
  <c r="B65" i="5"/>
  <c r="C65" i="5"/>
  <c r="D65" i="5"/>
  <c r="E65" i="5"/>
  <c r="F65" i="5"/>
  <c r="A66" i="5"/>
  <c r="B66" i="5"/>
  <c r="C66" i="5"/>
  <c r="D66" i="5"/>
  <c r="E66" i="5"/>
  <c r="F66" i="5"/>
  <c r="A67" i="5"/>
  <c r="B67" i="5"/>
  <c r="C67" i="5"/>
  <c r="D67" i="5"/>
  <c r="E67" i="5"/>
  <c r="F67" i="5"/>
  <c r="A68" i="5"/>
  <c r="B68" i="5"/>
  <c r="C68" i="5"/>
  <c r="D68" i="5"/>
  <c r="E68" i="5"/>
  <c r="F68" i="5"/>
  <c r="A69" i="5"/>
  <c r="B69" i="5"/>
  <c r="C69" i="5"/>
  <c r="D69" i="5"/>
  <c r="E69" i="5"/>
  <c r="F69" i="5"/>
  <c r="A70" i="5"/>
  <c r="B70" i="5"/>
  <c r="C70" i="5"/>
  <c r="D70" i="5"/>
  <c r="E70" i="5"/>
  <c r="F70" i="5"/>
  <c r="A71" i="5"/>
  <c r="B71" i="5"/>
  <c r="C71" i="5"/>
  <c r="D71" i="5"/>
  <c r="E71" i="5"/>
  <c r="F71" i="5"/>
  <c r="A72" i="5"/>
  <c r="B72" i="5"/>
  <c r="C72" i="5"/>
  <c r="D72" i="5"/>
  <c r="E72" i="5"/>
  <c r="F72" i="5"/>
  <c r="A73" i="5"/>
  <c r="B73" i="5"/>
  <c r="C73" i="5"/>
  <c r="D73" i="5"/>
  <c r="E73" i="5"/>
  <c r="F73" i="5"/>
  <c r="A74" i="5"/>
  <c r="B74" i="5"/>
  <c r="C74" i="5"/>
  <c r="D74" i="5"/>
  <c r="E74" i="5"/>
  <c r="F74" i="5"/>
  <c r="A75" i="5"/>
  <c r="B75" i="5"/>
  <c r="C75" i="5"/>
  <c r="D75" i="5"/>
  <c r="E75" i="5"/>
  <c r="F75" i="5"/>
  <c r="A76" i="5"/>
  <c r="B76" i="5"/>
  <c r="C76" i="5"/>
  <c r="D76" i="5"/>
  <c r="E76" i="5"/>
  <c r="F76" i="5"/>
  <c r="A77" i="5"/>
  <c r="B77" i="5"/>
  <c r="C77" i="5"/>
  <c r="D77" i="5"/>
  <c r="E77" i="5"/>
  <c r="F77" i="5"/>
  <c r="A78" i="5"/>
  <c r="B78" i="5"/>
  <c r="C78" i="5"/>
  <c r="D78" i="5"/>
  <c r="E78" i="5"/>
  <c r="F78" i="5"/>
  <c r="A79" i="5"/>
  <c r="B79" i="5"/>
  <c r="C79" i="5"/>
  <c r="D79" i="5"/>
  <c r="E79" i="5"/>
  <c r="F79" i="5"/>
  <c r="A80" i="5"/>
  <c r="B80" i="5"/>
  <c r="C80" i="5"/>
  <c r="D80" i="5"/>
  <c r="E80" i="5"/>
  <c r="F80" i="5"/>
  <c r="A81" i="5"/>
  <c r="B81" i="5"/>
  <c r="C81" i="5"/>
  <c r="D81" i="5"/>
  <c r="E81" i="5"/>
  <c r="F81" i="5"/>
  <c r="A82" i="5"/>
  <c r="B82" i="5"/>
  <c r="C82" i="5"/>
  <c r="D82" i="5"/>
  <c r="E82" i="5"/>
  <c r="F82" i="5"/>
  <c r="A83" i="5"/>
  <c r="B83" i="5"/>
  <c r="C83" i="5"/>
  <c r="D83" i="5"/>
  <c r="E83" i="5"/>
  <c r="F83" i="5"/>
  <c r="A84" i="5"/>
  <c r="B84" i="5"/>
  <c r="C84" i="5"/>
  <c r="D84" i="5"/>
  <c r="E84" i="5"/>
  <c r="F84" i="5"/>
  <c r="A85" i="5"/>
  <c r="B85" i="5"/>
  <c r="C85" i="5"/>
  <c r="D85" i="5"/>
  <c r="E85" i="5"/>
  <c r="F85" i="5"/>
  <c r="A86" i="5"/>
  <c r="B86" i="5"/>
  <c r="C86" i="5"/>
  <c r="D86" i="5"/>
  <c r="E86" i="5"/>
  <c r="F86" i="5"/>
  <c r="A87" i="5"/>
  <c r="B87" i="5"/>
  <c r="C87" i="5"/>
  <c r="D87" i="5"/>
  <c r="E87" i="5"/>
  <c r="F87" i="5"/>
  <c r="A88" i="5"/>
  <c r="B88" i="5"/>
  <c r="C88" i="5"/>
  <c r="D88" i="5"/>
  <c r="E88" i="5"/>
  <c r="F88" i="5"/>
  <c r="A89" i="5"/>
  <c r="B89" i="5"/>
  <c r="C89" i="5"/>
  <c r="D89" i="5"/>
  <c r="E89" i="5"/>
  <c r="F89" i="5"/>
  <c r="A90" i="5"/>
  <c r="B90" i="5"/>
  <c r="C90" i="5"/>
  <c r="D90" i="5"/>
  <c r="E90" i="5"/>
  <c r="F90" i="5"/>
  <c r="A91" i="5"/>
  <c r="B91" i="5"/>
  <c r="C91" i="5"/>
  <c r="D91" i="5"/>
  <c r="E91" i="5"/>
  <c r="F91" i="5"/>
  <c r="A92" i="5"/>
  <c r="B92" i="5"/>
  <c r="C92" i="5"/>
  <c r="D92" i="5"/>
  <c r="E92" i="5"/>
  <c r="F92" i="5"/>
  <c r="A93" i="5"/>
  <c r="B93" i="5"/>
  <c r="C93" i="5"/>
  <c r="D93" i="5"/>
  <c r="E93" i="5"/>
  <c r="F93" i="5"/>
  <c r="A94" i="5"/>
  <c r="B94" i="5"/>
  <c r="C94" i="5"/>
  <c r="D94" i="5"/>
  <c r="E94" i="5"/>
  <c r="F94" i="5"/>
  <c r="A95" i="5"/>
  <c r="B95" i="5"/>
  <c r="C95" i="5"/>
  <c r="D95" i="5"/>
  <c r="E95" i="5"/>
  <c r="F95" i="5"/>
  <c r="A96" i="5"/>
  <c r="B96" i="5"/>
  <c r="C96" i="5"/>
  <c r="D96" i="5"/>
  <c r="E96" i="5"/>
  <c r="F96" i="5"/>
  <c r="A97" i="5"/>
  <c r="B97" i="5"/>
  <c r="C97" i="5"/>
  <c r="D97" i="5"/>
  <c r="E97" i="5"/>
  <c r="F97" i="5"/>
  <c r="A98" i="5"/>
  <c r="B98" i="5"/>
  <c r="C98" i="5"/>
  <c r="D98" i="5"/>
  <c r="E98" i="5"/>
  <c r="F98" i="5"/>
  <c r="A99" i="5"/>
  <c r="B99" i="5"/>
  <c r="C99" i="5"/>
  <c r="D99" i="5"/>
  <c r="E99" i="5"/>
  <c r="F99" i="5"/>
  <c r="A100" i="5"/>
  <c r="B100" i="5"/>
  <c r="C100" i="5"/>
  <c r="D100" i="5"/>
  <c r="E100" i="5"/>
  <c r="F100" i="5"/>
  <c r="A101" i="5"/>
  <c r="B101" i="5"/>
  <c r="C101" i="5"/>
  <c r="D101" i="5"/>
  <c r="E101" i="5"/>
  <c r="F101" i="5"/>
  <c r="A102" i="5"/>
  <c r="B102" i="5"/>
  <c r="C102" i="5"/>
  <c r="D102" i="5"/>
  <c r="E102" i="5"/>
  <c r="F102" i="5"/>
  <c r="A103" i="5"/>
  <c r="B103" i="5"/>
  <c r="C103" i="5"/>
  <c r="D103" i="5"/>
  <c r="E103" i="5"/>
  <c r="F103" i="5"/>
  <c r="A104" i="5"/>
  <c r="B104" i="5"/>
  <c r="C104" i="5"/>
  <c r="D104" i="5"/>
  <c r="E104" i="5"/>
  <c r="F104" i="5"/>
  <c r="A105" i="5"/>
  <c r="B105" i="5"/>
  <c r="C105" i="5"/>
  <c r="D105" i="5"/>
  <c r="E105" i="5"/>
  <c r="F105" i="5"/>
  <c r="A106" i="5"/>
  <c r="B106" i="5"/>
  <c r="C106" i="5"/>
  <c r="D106" i="5"/>
  <c r="E106" i="5"/>
  <c r="F106" i="5"/>
  <c r="A107" i="5"/>
  <c r="B107" i="5"/>
  <c r="C107" i="5"/>
  <c r="D107" i="5"/>
  <c r="E107" i="5"/>
  <c r="F107" i="5"/>
  <c r="A108" i="5"/>
  <c r="B108" i="5"/>
  <c r="C108" i="5"/>
  <c r="D108" i="5"/>
  <c r="E108" i="5"/>
  <c r="F108" i="5"/>
  <c r="A109" i="5"/>
  <c r="B109" i="5"/>
  <c r="C109" i="5"/>
  <c r="D109" i="5"/>
  <c r="E109" i="5"/>
  <c r="F109" i="5"/>
  <c r="A110" i="5"/>
  <c r="B110" i="5"/>
  <c r="C110" i="5"/>
  <c r="D110" i="5"/>
  <c r="E110" i="5"/>
  <c r="F110" i="5"/>
  <c r="A111" i="5"/>
  <c r="B111" i="5"/>
  <c r="C111" i="5"/>
  <c r="D111" i="5"/>
  <c r="E111" i="5"/>
  <c r="F111" i="5"/>
  <c r="A112" i="5"/>
  <c r="B112" i="5"/>
  <c r="C112" i="5"/>
  <c r="D112" i="5"/>
  <c r="E112" i="5"/>
  <c r="F112" i="5"/>
  <c r="A113" i="5"/>
  <c r="B113" i="5"/>
  <c r="C113" i="5"/>
  <c r="D113" i="5"/>
  <c r="E113" i="5"/>
  <c r="F113" i="5"/>
  <c r="A114" i="5"/>
  <c r="B114" i="5"/>
  <c r="C114" i="5"/>
  <c r="D114" i="5"/>
  <c r="E114" i="5"/>
  <c r="F114" i="5"/>
  <c r="A115" i="5"/>
  <c r="B115" i="5"/>
  <c r="C115" i="5"/>
  <c r="D115" i="5"/>
  <c r="E115" i="5"/>
  <c r="F115" i="5"/>
  <c r="A116" i="5"/>
  <c r="B116" i="5"/>
  <c r="C116" i="5"/>
  <c r="D116" i="5"/>
  <c r="E116" i="5"/>
  <c r="F116" i="5"/>
  <c r="A117" i="5"/>
  <c r="B117" i="5"/>
  <c r="C117" i="5"/>
  <c r="D117" i="5"/>
  <c r="E117" i="5"/>
  <c r="F117" i="5"/>
  <c r="A118" i="5"/>
  <c r="B118" i="5"/>
  <c r="C118" i="5"/>
  <c r="D118" i="5"/>
  <c r="E118" i="5"/>
  <c r="F118" i="5"/>
  <c r="A119" i="5"/>
  <c r="B119" i="5"/>
  <c r="C119" i="5"/>
  <c r="D119" i="5"/>
  <c r="E119" i="5"/>
  <c r="F119" i="5"/>
  <c r="A120" i="5"/>
  <c r="B120" i="5"/>
  <c r="C120" i="5"/>
  <c r="D120" i="5"/>
  <c r="E120" i="5"/>
  <c r="F120" i="5"/>
  <c r="A121" i="5"/>
  <c r="B121" i="5"/>
  <c r="C121" i="5"/>
  <c r="D121" i="5"/>
  <c r="E121" i="5"/>
  <c r="F121" i="5"/>
  <c r="A122" i="5"/>
  <c r="B122" i="5"/>
  <c r="C122" i="5"/>
  <c r="D122" i="5"/>
  <c r="E122" i="5"/>
  <c r="F122" i="5"/>
  <c r="A123" i="5"/>
  <c r="B123" i="5"/>
  <c r="C123" i="5"/>
  <c r="D123" i="5"/>
  <c r="E123" i="5"/>
  <c r="F123" i="5"/>
  <c r="A124" i="5"/>
  <c r="B124" i="5"/>
  <c r="C124" i="5"/>
  <c r="D124" i="5"/>
  <c r="E124" i="5"/>
  <c r="F124" i="5"/>
  <c r="A125" i="5"/>
  <c r="B125" i="5"/>
  <c r="C125" i="5"/>
  <c r="D125" i="5"/>
  <c r="E125" i="5"/>
  <c r="F125" i="5"/>
  <c r="A126" i="5"/>
  <c r="B126" i="5"/>
  <c r="C126" i="5"/>
  <c r="D126" i="5"/>
  <c r="E126" i="5"/>
  <c r="F126" i="5"/>
  <c r="A127" i="5"/>
  <c r="B127" i="5"/>
  <c r="C127" i="5"/>
  <c r="D127" i="5"/>
  <c r="E127" i="5"/>
  <c r="F127" i="5"/>
  <c r="A128" i="5"/>
  <c r="B128" i="5"/>
  <c r="C128" i="5"/>
  <c r="D128" i="5"/>
  <c r="E128" i="5"/>
  <c r="F128" i="5"/>
  <c r="A129" i="5"/>
  <c r="B129" i="5"/>
  <c r="C129" i="5"/>
  <c r="D129" i="5"/>
  <c r="E129" i="5"/>
  <c r="F129" i="5"/>
  <c r="A130" i="5"/>
  <c r="B130" i="5"/>
  <c r="C130" i="5"/>
  <c r="D130" i="5"/>
  <c r="E130" i="5"/>
  <c r="F130" i="5"/>
  <c r="A131" i="5"/>
  <c r="B131" i="5"/>
  <c r="C131" i="5"/>
  <c r="D131" i="5"/>
  <c r="E131" i="5"/>
  <c r="F131" i="5"/>
  <c r="A132" i="5"/>
  <c r="B132" i="5"/>
  <c r="C132" i="5"/>
  <c r="D132" i="5"/>
  <c r="E132" i="5"/>
  <c r="F132" i="5"/>
  <c r="A133" i="5"/>
  <c r="B133" i="5"/>
  <c r="C133" i="5"/>
  <c r="D133" i="5"/>
  <c r="E133" i="5"/>
  <c r="F133" i="5"/>
  <c r="A134" i="5"/>
  <c r="B134" i="5"/>
  <c r="C134" i="5"/>
  <c r="D134" i="5"/>
  <c r="E134" i="5"/>
  <c r="F134" i="5"/>
  <c r="F4" i="5"/>
  <c r="E4" i="5"/>
  <c r="D4" i="5"/>
  <c r="C4" i="5"/>
  <c r="B4" i="5"/>
  <c r="A4" i="5"/>
  <c r="J20" i="4"/>
  <c r="J22" i="4"/>
  <c r="J23" i="4"/>
  <c r="J24" i="4"/>
  <c r="J25" i="4"/>
  <c r="J26" i="4"/>
  <c r="J27" i="4"/>
  <c r="J28" i="4"/>
  <c r="J30" i="4"/>
  <c r="J31" i="4"/>
  <c r="J32" i="4"/>
  <c r="J33" i="4"/>
  <c r="J34" i="4"/>
  <c r="J35" i="4"/>
  <c r="J36" i="4"/>
  <c r="J37" i="4"/>
  <c r="J38" i="4"/>
  <c r="J39" i="4"/>
  <c r="J41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6" i="4"/>
  <c r="J87" i="4"/>
  <c r="J88" i="4"/>
  <c r="J89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6" i="4"/>
  <c r="J147" i="4"/>
  <c r="J148" i="4"/>
  <c r="J149" i="4"/>
  <c r="J19" i="4"/>
  <c r="B11" i="4" l="1"/>
  <c r="L20" i="4" l="1"/>
  <c r="L24" i="4"/>
  <c r="L28" i="4"/>
  <c r="L32" i="4"/>
  <c r="L36" i="4"/>
  <c r="L40" i="4"/>
  <c r="L44" i="4"/>
  <c r="L48" i="4"/>
  <c r="L52" i="4"/>
  <c r="L56" i="4"/>
  <c r="L60" i="4"/>
  <c r="L64" i="4"/>
  <c r="L68" i="4"/>
  <c r="L72" i="4"/>
  <c r="L76" i="4"/>
  <c r="L80" i="4"/>
  <c r="L84" i="4"/>
  <c r="L88" i="4"/>
  <c r="L92" i="4"/>
  <c r="L96" i="4"/>
  <c r="L100" i="4"/>
  <c r="L104" i="4"/>
  <c r="L108" i="4"/>
  <c r="L112" i="4"/>
  <c r="L116" i="4"/>
  <c r="L120" i="4"/>
  <c r="L124" i="4"/>
  <c r="L128" i="4"/>
  <c r="L132" i="4"/>
  <c r="L136" i="4"/>
  <c r="L140" i="4"/>
  <c r="L144" i="4"/>
  <c r="L148" i="4"/>
  <c r="L21" i="4"/>
  <c r="L25" i="4"/>
  <c r="L29" i="4"/>
  <c r="L33" i="4"/>
  <c r="L37" i="4"/>
  <c r="L41" i="4"/>
  <c r="L45" i="4"/>
  <c r="L49" i="4"/>
  <c r="L53" i="4"/>
  <c r="L57" i="4"/>
  <c r="L61" i="4"/>
  <c r="L65" i="4"/>
  <c r="L69" i="4"/>
  <c r="L73" i="4"/>
  <c r="L77" i="4"/>
  <c r="L8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23" i="4"/>
  <c r="L31" i="4"/>
  <c r="L39" i="4"/>
  <c r="L47" i="4"/>
  <c r="L55" i="4"/>
  <c r="L63" i="4"/>
  <c r="L71" i="4"/>
  <c r="L79" i="4"/>
  <c r="L87" i="4"/>
  <c r="L95" i="4"/>
  <c r="L103" i="4"/>
  <c r="L111" i="4"/>
  <c r="L119" i="4"/>
  <c r="L127" i="4"/>
  <c r="L135" i="4"/>
  <c r="L143" i="4"/>
  <c r="L27" i="4"/>
  <c r="L35" i="4"/>
  <c r="L43" i="4"/>
  <c r="L51" i="4"/>
  <c r="L59" i="4"/>
  <c r="L67" i="4"/>
  <c r="L75" i="4"/>
  <c r="L83" i="4"/>
  <c r="L91" i="4"/>
  <c r="L99" i="4"/>
  <c r="L107" i="4"/>
  <c r="L115" i="4"/>
  <c r="L123" i="4"/>
  <c r="L131" i="4"/>
  <c r="L139" i="4"/>
  <c r="L147" i="4"/>
  <c r="L30" i="4"/>
  <c r="L38" i="4"/>
  <c r="L54" i="4"/>
  <c r="L70" i="4"/>
  <c r="L86" i="4"/>
  <c r="L102" i="4"/>
  <c r="L118" i="4"/>
  <c r="L134" i="4"/>
  <c r="L19" i="4"/>
  <c r="L26" i="4"/>
  <c r="L34" i="4"/>
  <c r="L42" i="4"/>
  <c r="L50" i="4"/>
  <c r="L58" i="4"/>
  <c r="L66" i="4"/>
  <c r="L74" i="4"/>
  <c r="L82" i="4"/>
  <c r="L90" i="4"/>
  <c r="L98" i="4"/>
  <c r="L106" i="4"/>
  <c r="L114" i="4"/>
  <c r="L122" i="4"/>
  <c r="L130" i="4"/>
  <c r="L138" i="4"/>
  <c r="L146" i="4"/>
  <c r="L22" i="4"/>
  <c r="L46" i="4"/>
  <c r="L62" i="4"/>
  <c r="L78" i="4"/>
  <c r="L94" i="4"/>
  <c r="L110" i="4"/>
  <c r="L126" i="4"/>
  <c r="L142" i="4"/>
  <c r="E20" i="4"/>
  <c r="I20" i="4" s="1"/>
  <c r="E24" i="4"/>
  <c r="I24" i="4" s="1"/>
  <c r="E28" i="4"/>
  <c r="I28" i="4" s="1"/>
  <c r="E32" i="4"/>
  <c r="E36" i="4"/>
  <c r="I36" i="4" s="1"/>
  <c r="E40" i="4"/>
  <c r="I40" i="4" s="1"/>
  <c r="E44" i="4"/>
  <c r="I44" i="4" s="1"/>
  <c r="E48" i="4"/>
  <c r="I48" i="4" s="1"/>
  <c r="G33" i="5" s="1"/>
  <c r="E52" i="4"/>
  <c r="I52" i="4" s="1"/>
  <c r="E56" i="4"/>
  <c r="I56" i="4" s="1"/>
  <c r="G41" i="5" s="1"/>
  <c r="E60" i="4"/>
  <c r="I60" i="4" s="1"/>
  <c r="E64" i="4"/>
  <c r="I64" i="4" s="1"/>
  <c r="G49" i="5" s="1"/>
  <c r="E68" i="4"/>
  <c r="I68" i="4" s="1"/>
  <c r="E72" i="4"/>
  <c r="I72" i="4" s="1"/>
  <c r="E76" i="4"/>
  <c r="I76" i="4" s="1"/>
  <c r="E80" i="4"/>
  <c r="E84" i="4"/>
  <c r="I84" i="4" s="1"/>
  <c r="E88" i="4"/>
  <c r="E92" i="4"/>
  <c r="I92" i="4" s="1"/>
  <c r="E96" i="4"/>
  <c r="I96" i="4" s="1"/>
  <c r="G81" i="5" s="1"/>
  <c r="E100" i="4"/>
  <c r="I100" i="4" s="1"/>
  <c r="E104" i="4"/>
  <c r="I104" i="4" s="1"/>
  <c r="E108" i="4"/>
  <c r="I108" i="4" s="1"/>
  <c r="E112" i="4"/>
  <c r="I112" i="4" s="1"/>
  <c r="E116" i="4"/>
  <c r="E120" i="4"/>
  <c r="I120" i="4" s="1"/>
  <c r="G105" i="5" s="1"/>
  <c r="E124" i="4"/>
  <c r="I124" i="4" s="1"/>
  <c r="E128" i="4"/>
  <c r="I128" i="4" s="1"/>
  <c r="G113" i="5" s="1"/>
  <c r="E132" i="4"/>
  <c r="I132" i="4" s="1"/>
  <c r="E136" i="4"/>
  <c r="I136" i="4" s="1"/>
  <c r="G121" i="5" s="1"/>
  <c r="E140" i="4"/>
  <c r="I140" i="4" s="1"/>
  <c r="G125" i="5" s="1"/>
  <c r="E144" i="4"/>
  <c r="E148" i="4"/>
  <c r="I148" i="4" s="1"/>
  <c r="E22" i="4"/>
  <c r="I22" i="4" s="1"/>
  <c r="G7" i="5" s="1"/>
  <c r="E27" i="4"/>
  <c r="E33" i="4"/>
  <c r="I33" i="4" s="1"/>
  <c r="E38" i="4"/>
  <c r="I38" i="4" s="1"/>
  <c r="E43" i="4"/>
  <c r="I43" i="4" s="1"/>
  <c r="E49" i="4"/>
  <c r="E54" i="4"/>
  <c r="I54" i="4" s="1"/>
  <c r="G39" i="5" s="1"/>
  <c r="E59" i="4"/>
  <c r="I59" i="4" s="1"/>
  <c r="G44" i="5" s="1"/>
  <c r="E65" i="4"/>
  <c r="I65" i="4" s="1"/>
  <c r="E70" i="4"/>
  <c r="I70" i="4" s="1"/>
  <c r="E75" i="4"/>
  <c r="I75" i="4" s="1"/>
  <c r="G60" i="5" s="1"/>
  <c r="E81" i="4"/>
  <c r="I81" i="4" s="1"/>
  <c r="E86" i="4"/>
  <c r="I86" i="4" s="1"/>
  <c r="E91" i="4"/>
  <c r="I91" i="4" s="1"/>
  <c r="G76" i="5" s="1"/>
  <c r="E97" i="4"/>
  <c r="I97" i="4" s="1"/>
  <c r="G82" i="5" s="1"/>
  <c r="E102" i="4"/>
  <c r="I102" i="4" s="1"/>
  <c r="E107" i="4"/>
  <c r="I107" i="4" s="1"/>
  <c r="G92" i="5" s="1"/>
  <c r="E113" i="4"/>
  <c r="E118" i="4"/>
  <c r="I118" i="4" s="1"/>
  <c r="E123" i="4"/>
  <c r="I123" i="4" s="1"/>
  <c r="G108" i="5" s="1"/>
  <c r="E129" i="4"/>
  <c r="I129" i="4" s="1"/>
  <c r="E134" i="4"/>
  <c r="I134" i="4" s="1"/>
  <c r="G119" i="5" s="1"/>
  <c r="E139" i="4"/>
  <c r="I139" i="4" s="1"/>
  <c r="G124" i="5" s="1"/>
  <c r="E145" i="4"/>
  <c r="E19" i="4"/>
  <c r="I19" i="4" s="1"/>
  <c r="G4" i="5" s="1"/>
  <c r="E23" i="4"/>
  <c r="E29" i="4"/>
  <c r="I29" i="4" s="1"/>
  <c r="E34" i="4"/>
  <c r="E39" i="4"/>
  <c r="E45" i="4"/>
  <c r="I45" i="4" s="1"/>
  <c r="G30" i="5" s="1"/>
  <c r="E50" i="4"/>
  <c r="I50" i="4" s="1"/>
  <c r="E55" i="4"/>
  <c r="E61" i="4"/>
  <c r="I61" i="4" s="1"/>
  <c r="E66" i="4"/>
  <c r="I66" i="4" s="1"/>
  <c r="G51" i="5" s="1"/>
  <c r="E71" i="4"/>
  <c r="I71" i="4" s="1"/>
  <c r="G56" i="5" s="1"/>
  <c r="E77" i="4"/>
  <c r="E82" i="4"/>
  <c r="I82" i="4" s="1"/>
  <c r="E87" i="4"/>
  <c r="I87" i="4" s="1"/>
  <c r="G72" i="5" s="1"/>
  <c r="E93" i="4"/>
  <c r="I93" i="4" s="1"/>
  <c r="E98" i="4"/>
  <c r="I98" i="4" s="1"/>
  <c r="E103" i="4"/>
  <c r="I103" i="4" s="1"/>
  <c r="G88" i="5" s="1"/>
  <c r="E109" i="4"/>
  <c r="E114" i="4"/>
  <c r="I114" i="4" s="1"/>
  <c r="G99" i="5" s="1"/>
  <c r="E119" i="4"/>
  <c r="I119" i="4" s="1"/>
  <c r="G104" i="5" s="1"/>
  <c r="E125" i="4"/>
  <c r="I125" i="4" s="1"/>
  <c r="E130" i="4"/>
  <c r="I130" i="4" s="1"/>
  <c r="G115" i="5" s="1"/>
  <c r="E135" i="4"/>
  <c r="I135" i="4" s="1"/>
  <c r="G120" i="5" s="1"/>
  <c r="E141" i="4"/>
  <c r="I141" i="4" s="1"/>
  <c r="E146" i="4"/>
  <c r="I146" i="4" s="1"/>
  <c r="E26" i="4"/>
  <c r="I26" i="4" s="1"/>
  <c r="E37" i="4"/>
  <c r="I37" i="4" s="1"/>
  <c r="E47" i="4"/>
  <c r="I47" i="4" s="1"/>
  <c r="G32" i="5" s="1"/>
  <c r="E58" i="4"/>
  <c r="E69" i="4"/>
  <c r="I69" i="4" s="1"/>
  <c r="E79" i="4"/>
  <c r="I79" i="4" s="1"/>
  <c r="G64" i="5" s="1"/>
  <c r="E90" i="4"/>
  <c r="I90" i="4" s="1"/>
  <c r="G75" i="5" s="1"/>
  <c r="E101" i="4"/>
  <c r="I101" i="4" s="1"/>
  <c r="G86" i="5" s="1"/>
  <c r="E111" i="4"/>
  <c r="I111" i="4" s="1"/>
  <c r="G96" i="5" s="1"/>
  <c r="E122" i="4"/>
  <c r="I122" i="4" s="1"/>
  <c r="E133" i="4"/>
  <c r="I133" i="4" s="1"/>
  <c r="G118" i="5" s="1"/>
  <c r="E143" i="4"/>
  <c r="I143" i="4" s="1"/>
  <c r="G128" i="5" s="1"/>
  <c r="E42" i="4"/>
  <c r="I42" i="4" s="1"/>
  <c r="E63" i="4"/>
  <c r="I63" i="4" s="1"/>
  <c r="G48" i="5" s="1"/>
  <c r="E85" i="4"/>
  <c r="I85" i="4" s="1"/>
  <c r="G70" i="5" s="1"/>
  <c r="E106" i="4"/>
  <c r="E127" i="4"/>
  <c r="I127" i="4" s="1"/>
  <c r="G112" i="5" s="1"/>
  <c r="E149" i="4"/>
  <c r="I149" i="4" s="1"/>
  <c r="G134" i="5" s="1"/>
  <c r="E25" i="4"/>
  <c r="I25" i="4" s="1"/>
  <c r="G10" i="5" s="1"/>
  <c r="E35" i="4"/>
  <c r="E46" i="4"/>
  <c r="E57" i="4"/>
  <c r="E67" i="4"/>
  <c r="I67" i="4" s="1"/>
  <c r="E78" i="4"/>
  <c r="E89" i="4"/>
  <c r="I89" i="4" s="1"/>
  <c r="G74" i="5" s="1"/>
  <c r="E110" i="4"/>
  <c r="I110" i="4" s="1"/>
  <c r="G95" i="5" s="1"/>
  <c r="E121" i="4"/>
  <c r="E142" i="4"/>
  <c r="E30" i="4"/>
  <c r="I30" i="4" s="1"/>
  <c r="E41" i="4"/>
  <c r="E51" i="4"/>
  <c r="I51" i="4" s="1"/>
  <c r="E62" i="4"/>
  <c r="I62" i="4" s="1"/>
  <c r="G47" i="5" s="1"/>
  <c r="E73" i="4"/>
  <c r="I73" i="4" s="1"/>
  <c r="G58" i="5" s="1"/>
  <c r="E83" i="4"/>
  <c r="I83" i="4" s="1"/>
  <c r="G68" i="5" s="1"/>
  <c r="E94" i="4"/>
  <c r="I94" i="4" s="1"/>
  <c r="E105" i="4"/>
  <c r="I105" i="4" s="1"/>
  <c r="G90" i="5" s="1"/>
  <c r="E115" i="4"/>
  <c r="I115" i="4" s="1"/>
  <c r="G100" i="5" s="1"/>
  <c r="E126" i="4"/>
  <c r="I126" i="4" s="1"/>
  <c r="G111" i="5" s="1"/>
  <c r="E137" i="4"/>
  <c r="E147" i="4"/>
  <c r="I147" i="4" s="1"/>
  <c r="G132" i="5" s="1"/>
  <c r="I88" i="4"/>
  <c r="E21" i="4"/>
  <c r="I21" i="4" s="1"/>
  <c r="G6" i="5" s="1"/>
  <c r="E31" i="4"/>
  <c r="I31" i="4" s="1"/>
  <c r="G16" i="5" s="1"/>
  <c r="E53" i="4"/>
  <c r="I53" i="4" s="1"/>
  <c r="G38" i="5" s="1"/>
  <c r="E74" i="4"/>
  <c r="E95" i="4"/>
  <c r="I95" i="4" s="1"/>
  <c r="G80" i="5" s="1"/>
  <c r="E117" i="4"/>
  <c r="E138" i="4"/>
  <c r="E99" i="4"/>
  <c r="I99" i="4" s="1"/>
  <c r="G84" i="5" s="1"/>
  <c r="E131" i="4"/>
  <c r="I131" i="4" s="1"/>
  <c r="G116" i="5" s="1"/>
  <c r="F20" i="4"/>
  <c r="F24" i="4"/>
  <c r="F28" i="4"/>
  <c r="F32" i="4"/>
  <c r="F36" i="4"/>
  <c r="F40" i="4"/>
  <c r="J40" i="4" s="1"/>
  <c r="F44" i="4"/>
  <c r="J44" i="4" s="1"/>
  <c r="F48" i="4"/>
  <c r="F52" i="4"/>
  <c r="F56" i="4"/>
  <c r="F60" i="4"/>
  <c r="J60" i="4" s="1"/>
  <c r="F64" i="4"/>
  <c r="F68" i="4"/>
  <c r="F72" i="4"/>
  <c r="F76" i="4"/>
  <c r="F80" i="4"/>
  <c r="F84" i="4"/>
  <c r="F88" i="4"/>
  <c r="F92" i="4"/>
  <c r="F96" i="4"/>
  <c r="F100" i="4"/>
  <c r="F104" i="4"/>
  <c r="F108" i="4"/>
  <c r="F112" i="4"/>
  <c r="F116" i="4"/>
  <c r="F120" i="4"/>
  <c r="F124" i="4"/>
  <c r="F128" i="4"/>
  <c r="F132" i="4"/>
  <c r="F136" i="4"/>
  <c r="F140" i="4"/>
  <c r="F144" i="4"/>
  <c r="F148" i="4"/>
  <c r="F21" i="4"/>
  <c r="F25" i="4"/>
  <c r="F29" i="4"/>
  <c r="J29" i="4" s="1"/>
  <c r="F33" i="4"/>
  <c r="F37" i="4"/>
  <c r="F41" i="4"/>
  <c r="F45" i="4"/>
  <c r="F49" i="4"/>
  <c r="F53" i="4"/>
  <c r="F57" i="4"/>
  <c r="F61" i="4"/>
  <c r="F65" i="4"/>
  <c r="F69" i="4"/>
  <c r="F73" i="4"/>
  <c r="F77" i="4"/>
  <c r="F81" i="4"/>
  <c r="F85" i="4"/>
  <c r="J85" i="4" s="1"/>
  <c r="F89" i="4"/>
  <c r="F93" i="4"/>
  <c r="F97" i="4"/>
  <c r="F101" i="4"/>
  <c r="F105" i="4"/>
  <c r="F109" i="4"/>
  <c r="F113" i="4"/>
  <c r="F117" i="4"/>
  <c r="F121" i="4"/>
  <c r="F125" i="4"/>
  <c r="F129" i="4"/>
  <c r="F133" i="4"/>
  <c r="F137" i="4"/>
  <c r="F141" i="4"/>
  <c r="F145" i="4"/>
  <c r="J145" i="4" s="1"/>
  <c r="F149" i="4"/>
  <c r="F22" i="4"/>
  <c r="F26" i="4"/>
  <c r="F30" i="4"/>
  <c r="F34" i="4"/>
  <c r="F38" i="4"/>
  <c r="F42" i="4"/>
  <c r="J42" i="4" s="1"/>
  <c r="F46" i="4"/>
  <c r="F50" i="4"/>
  <c r="F54" i="4"/>
  <c r="F58" i="4"/>
  <c r="F62" i="4"/>
  <c r="F66" i="4"/>
  <c r="F70" i="4"/>
  <c r="F74" i="4"/>
  <c r="F78" i="4"/>
  <c r="F82" i="4"/>
  <c r="F86" i="4"/>
  <c r="F90" i="4"/>
  <c r="J90" i="4" s="1"/>
  <c r="F94" i="4"/>
  <c r="F23" i="4"/>
  <c r="F39" i="4"/>
  <c r="F55" i="4"/>
  <c r="F71" i="4"/>
  <c r="F87" i="4"/>
  <c r="F99" i="4"/>
  <c r="F107" i="4"/>
  <c r="F115" i="4"/>
  <c r="F123" i="4"/>
  <c r="F131" i="4"/>
  <c r="F139" i="4"/>
  <c r="F147" i="4"/>
  <c r="F47" i="4"/>
  <c r="F35" i="4"/>
  <c r="F67" i="4"/>
  <c r="F83" i="4"/>
  <c r="F106" i="4"/>
  <c r="F122" i="4"/>
  <c r="F138" i="4"/>
  <c r="F27" i="4"/>
  <c r="F43" i="4"/>
  <c r="J43" i="4" s="1"/>
  <c r="F59" i="4"/>
  <c r="F75" i="4"/>
  <c r="F91" i="4"/>
  <c r="F102" i="4"/>
  <c r="F110" i="4"/>
  <c r="F118" i="4"/>
  <c r="F126" i="4"/>
  <c r="F134" i="4"/>
  <c r="F142" i="4"/>
  <c r="F19" i="4"/>
  <c r="F31" i="4"/>
  <c r="F63" i="4"/>
  <c r="F79" i="4"/>
  <c r="F95" i="4"/>
  <c r="F103" i="4"/>
  <c r="F111" i="4"/>
  <c r="F119" i="4"/>
  <c r="F127" i="4"/>
  <c r="F135" i="4"/>
  <c r="F143" i="4"/>
  <c r="F51" i="4"/>
  <c r="F98" i="4"/>
  <c r="F114" i="4"/>
  <c r="F130" i="4"/>
  <c r="F146" i="4"/>
  <c r="B12" i="4"/>
  <c r="B10" i="6" s="1"/>
  <c r="J5" i="7" s="1"/>
  <c r="B13" i="4"/>
  <c r="B12" i="6" s="1"/>
  <c r="B7" i="4"/>
  <c r="B7" i="6" s="1"/>
  <c r="C5" i="7" s="1"/>
  <c r="B14" i="4"/>
  <c r="B8" i="4"/>
  <c r="B8" i="6" s="1"/>
  <c r="B9" i="6"/>
  <c r="B15" i="4"/>
  <c r="B10" i="4"/>
  <c r="B6" i="4"/>
  <c r="B6" i="6" s="1"/>
  <c r="B16" i="4" l="1"/>
  <c r="B11" i="6" s="1"/>
  <c r="G27" i="5"/>
  <c r="H27" i="5" s="1"/>
  <c r="G28" i="5"/>
  <c r="H28" i="5" s="1"/>
  <c r="AE28" i="5" s="1"/>
  <c r="G25" i="5"/>
  <c r="AF25" i="5" s="1"/>
  <c r="G87" i="5"/>
  <c r="H87" i="5" s="1"/>
  <c r="K102" i="4"/>
  <c r="J87" i="5" s="1"/>
  <c r="G29" i="5"/>
  <c r="H29" i="5" s="1"/>
  <c r="AE29" i="5" s="1"/>
  <c r="K44" i="4"/>
  <c r="I29" i="5" s="1"/>
  <c r="K120" i="4"/>
  <c r="J105" i="5" s="1"/>
  <c r="I34" i="4"/>
  <c r="G19" i="5" s="1"/>
  <c r="H19" i="5" s="1"/>
  <c r="K68" i="4"/>
  <c r="G53" i="5"/>
  <c r="K148" i="4"/>
  <c r="G133" i="5"/>
  <c r="K132" i="4"/>
  <c r="G117" i="5"/>
  <c r="O32" i="5" s="1"/>
  <c r="K84" i="4"/>
  <c r="G69" i="5"/>
  <c r="K100" i="4"/>
  <c r="G85" i="5"/>
  <c r="K36" i="4"/>
  <c r="G21" i="5"/>
  <c r="K65" i="4"/>
  <c r="G50" i="5"/>
  <c r="O15" i="5" s="1"/>
  <c r="K124" i="4"/>
  <c r="G109" i="5"/>
  <c r="K60" i="4"/>
  <c r="G45" i="5"/>
  <c r="K28" i="4"/>
  <c r="G13" i="5"/>
  <c r="K146" i="4"/>
  <c r="G131" i="5"/>
  <c r="K81" i="4"/>
  <c r="G66" i="5"/>
  <c r="K38" i="4"/>
  <c r="G23" i="5"/>
  <c r="AF121" i="5"/>
  <c r="H121" i="5"/>
  <c r="AE121" i="5" s="1"/>
  <c r="H100" i="5"/>
  <c r="AE100" i="5" s="1"/>
  <c r="AF100" i="5"/>
  <c r="H96" i="5"/>
  <c r="AE96" i="5" s="1"/>
  <c r="AF96" i="5"/>
  <c r="AF115" i="5"/>
  <c r="H115" i="5"/>
  <c r="AE115" i="5" s="1"/>
  <c r="H92" i="5"/>
  <c r="AE92" i="5" s="1"/>
  <c r="AF92" i="5"/>
  <c r="AF7" i="5"/>
  <c r="H7" i="5"/>
  <c r="AE7" i="5" s="1"/>
  <c r="K72" i="4"/>
  <c r="G57" i="5"/>
  <c r="K92" i="4"/>
  <c r="G77" i="5"/>
  <c r="H80" i="5"/>
  <c r="AE80" i="5" s="1"/>
  <c r="AF80" i="5"/>
  <c r="AF6" i="5"/>
  <c r="H6" i="5"/>
  <c r="H82" i="5"/>
  <c r="AE82" i="5" s="1"/>
  <c r="AF82" i="5"/>
  <c r="K76" i="4"/>
  <c r="G61" i="5"/>
  <c r="H132" i="5"/>
  <c r="AE132" i="5" s="1"/>
  <c r="AF132" i="5"/>
  <c r="H90" i="5"/>
  <c r="AE90" i="5" s="1"/>
  <c r="AF90" i="5"/>
  <c r="AF47" i="5"/>
  <c r="H47" i="5"/>
  <c r="AE47" i="5" s="1"/>
  <c r="K140" i="4"/>
  <c r="K67" i="4"/>
  <c r="G52" i="5"/>
  <c r="H10" i="5"/>
  <c r="AE10" i="5" s="1"/>
  <c r="AF10" i="5"/>
  <c r="H134" i="5"/>
  <c r="AF134" i="5"/>
  <c r="AF105" i="5"/>
  <c r="H105" i="5"/>
  <c r="H128" i="5"/>
  <c r="AE128" i="5" s="1"/>
  <c r="AF128" i="5"/>
  <c r="K101" i="4"/>
  <c r="K136" i="4"/>
  <c r="AF81" i="5"/>
  <c r="H81" i="5"/>
  <c r="AE81" i="5" s="1"/>
  <c r="K125" i="4"/>
  <c r="G110" i="5"/>
  <c r="H88" i="5"/>
  <c r="AE88" i="5" s="1"/>
  <c r="AF88" i="5"/>
  <c r="K61" i="4"/>
  <c r="G46" i="5"/>
  <c r="K48" i="4"/>
  <c r="I116" i="4"/>
  <c r="G101" i="5" s="1"/>
  <c r="H108" i="5"/>
  <c r="AE108" i="5" s="1"/>
  <c r="AF108" i="5"/>
  <c r="K112" i="4"/>
  <c r="G97" i="5"/>
  <c r="AF49" i="5"/>
  <c r="H49" i="5"/>
  <c r="AE49" i="5" s="1"/>
  <c r="H70" i="5"/>
  <c r="AE70" i="5" s="1"/>
  <c r="AF70" i="5"/>
  <c r="H58" i="5"/>
  <c r="AE58" i="5" s="1"/>
  <c r="AF58" i="5"/>
  <c r="AF125" i="5"/>
  <c r="H125" i="5"/>
  <c r="AE125" i="5" s="1"/>
  <c r="K69" i="4"/>
  <c r="G54" i="5"/>
  <c r="AF113" i="5"/>
  <c r="H113" i="5"/>
  <c r="AE113" i="5" s="1"/>
  <c r="AF51" i="5"/>
  <c r="H51" i="5"/>
  <c r="AE51" i="5" s="1"/>
  <c r="K118" i="4"/>
  <c r="G103" i="5"/>
  <c r="K86" i="4"/>
  <c r="G71" i="5"/>
  <c r="H116" i="5"/>
  <c r="AE116" i="5" s="1"/>
  <c r="AF116" i="5"/>
  <c r="H48" i="5"/>
  <c r="AE48" i="5" s="1"/>
  <c r="AF48" i="5"/>
  <c r="AF95" i="5"/>
  <c r="H95" i="5"/>
  <c r="AE95" i="5" s="1"/>
  <c r="K108" i="4"/>
  <c r="G93" i="5"/>
  <c r="AF75" i="5"/>
  <c r="H75" i="5"/>
  <c r="AE75" i="5" s="1"/>
  <c r="K141" i="4"/>
  <c r="G126" i="5"/>
  <c r="K98" i="4"/>
  <c r="G83" i="5"/>
  <c r="H16" i="5"/>
  <c r="AE16" i="5" s="1"/>
  <c r="AF16" i="5"/>
  <c r="K129" i="4"/>
  <c r="G114" i="5"/>
  <c r="O31" i="5" s="1"/>
  <c r="AF27" i="5"/>
  <c r="K30" i="4"/>
  <c r="G15" i="5"/>
  <c r="H86" i="5"/>
  <c r="AE86" i="5" s="1"/>
  <c r="AF86" i="5"/>
  <c r="K26" i="4"/>
  <c r="G11" i="5"/>
  <c r="K52" i="4"/>
  <c r="G37" i="5"/>
  <c r="K20" i="4"/>
  <c r="G5" i="5"/>
  <c r="O4" i="5" s="1"/>
  <c r="H72" i="5"/>
  <c r="AF72" i="5"/>
  <c r="H30" i="5"/>
  <c r="AE30" i="5" s="1"/>
  <c r="AF30" i="5"/>
  <c r="AF4" i="5"/>
  <c r="H4" i="5"/>
  <c r="K94" i="4"/>
  <c r="G79" i="5"/>
  <c r="K51" i="4"/>
  <c r="G36" i="5"/>
  <c r="AF33" i="5"/>
  <c r="H33" i="5"/>
  <c r="AE33" i="5" s="1"/>
  <c r="H112" i="5"/>
  <c r="AF112" i="5"/>
  <c r="H118" i="5"/>
  <c r="AE118" i="5" s="1"/>
  <c r="AF118" i="5"/>
  <c r="H32" i="5"/>
  <c r="AE32" i="5" s="1"/>
  <c r="AF32" i="5"/>
  <c r="K82" i="4"/>
  <c r="G67" i="5"/>
  <c r="H104" i="5"/>
  <c r="AF104" i="5"/>
  <c r="H124" i="5"/>
  <c r="AE124" i="5" s="1"/>
  <c r="AF124" i="5"/>
  <c r="K97" i="4"/>
  <c r="H60" i="5"/>
  <c r="AE60" i="5" s="1"/>
  <c r="AF60" i="5"/>
  <c r="AF39" i="5"/>
  <c r="H39" i="5"/>
  <c r="AE39" i="5" s="1"/>
  <c r="K33" i="4"/>
  <c r="G18" i="5"/>
  <c r="H44" i="5"/>
  <c r="AE44" i="5" s="1"/>
  <c r="AF44" i="5"/>
  <c r="H84" i="5"/>
  <c r="AE84" i="5" s="1"/>
  <c r="AF84" i="5"/>
  <c r="H38" i="5"/>
  <c r="AE38" i="5" s="1"/>
  <c r="AF38" i="5"/>
  <c r="K88" i="4"/>
  <c r="G73" i="5"/>
  <c r="AF41" i="5"/>
  <c r="H41" i="5"/>
  <c r="AE41" i="5" s="1"/>
  <c r="AF111" i="5"/>
  <c r="H111" i="5"/>
  <c r="AE111" i="5" s="1"/>
  <c r="H68" i="5"/>
  <c r="AE68" i="5" s="1"/>
  <c r="AF68" i="5"/>
  <c r="H74" i="5"/>
  <c r="AE74" i="5" s="1"/>
  <c r="AF74" i="5"/>
  <c r="K56" i="4"/>
  <c r="K122" i="4"/>
  <c r="G107" i="5"/>
  <c r="H64" i="5"/>
  <c r="AE64" i="5" s="1"/>
  <c r="AF64" i="5"/>
  <c r="K37" i="4"/>
  <c r="G22" i="5"/>
  <c r="H120" i="5"/>
  <c r="AE120" i="5" s="1"/>
  <c r="AF120" i="5"/>
  <c r="AF99" i="5"/>
  <c r="H99" i="5"/>
  <c r="AE99" i="5" s="1"/>
  <c r="K93" i="4"/>
  <c r="G78" i="5"/>
  <c r="H56" i="5"/>
  <c r="AE56" i="5" s="1"/>
  <c r="AF56" i="5"/>
  <c r="K50" i="4"/>
  <c r="G35" i="5"/>
  <c r="K29" i="4"/>
  <c r="G14" i="5"/>
  <c r="AF119" i="5"/>
  <c r="H119" i="5"/>
  <c r="AE119" i="5" s="1"/>
  <c r="H76" i="5"/>
  <c r="AF76" i="5"/>
  <c r="K70" i="4"/>
  <c r="G55" i="5"/>
  <c r="K104" i="4"/>
  <c r="G89" i="5"/>
  <c r="K40" i="4"/>
  <c r="K24" i="4"/>
  <c r="G9" i="5"/>
  <c r="K85" i="4"/>
  <c r="K114" i="4"/>
  <c r="K54" i="4"/>
  <c r="I137" i="4"/>
  <c r="G122" i="5" s="1"/>
  <c r="K22" i="4"/>
  <c r="K73" i="4"/>
  <c r="K43" i="4"/>
  <c r="K128" i="4"/>
  <c r="K96" i="4"/>
  <c r="K131" i="4"/>
  <c r="K105" i="4"/>
  <c r="K19" i="4"/>
  <c r="K63" i="4"/>
  <c r="I58" i="4"/>
  <c r="I106" i="4"/>
  <c r="K42" i="4"/>
  <c r="K59" i="4"/>
  <c r="K115" i="4"/>
  <c r="K133" i="4"/>
  <c r="K90" i="4"/>
  <c r="I109" i="4"/>
  <c r="I35" i="4"/>
  <c r="I27" i="4"/>
  <c r="K147" i="4"/>
  <c r="K99" i="4"/>
  <c r="K83" i="4"/>
  <c r="I145" i="4"/>
  <c r="G130" i="5" s="1"/>
  <c r="I74" i="4"/>
  <c r="I138" i="4"/>
  <c r="I32" i="4"/>
  <c r="I113" i="4"/>
  <c r="K66" i="4"/>
  <c r="I144" i="4"/>
  <c r="G129" i="5" s="1"/>
  <c r="I121" i="4"/>
  <c r="I80" i="4"/>
  <c r="K149" i="4"/>
  <c r="K64" i="4"/>
  <c r="K21" i="4"/>
  <c r="I46" i="4"/>
  <c r="K110" i="4"/>
  <c r="K89" i="4"/>
  <c r="K25" i="4"/>
  <c r="I57" i="4"/>
  <c r="I49" i="4"/>
  <c r="I41" i="4"/>
  <c r="K143" i="4"/>
  <c r="K127" i="4"/>
  <c r="K111" i="4"/>
  <c r="K95" i="4"/>
  <c r="K79" i="4"/>
  <c r="K47" i="4"/>
  <c r="K31" i="4"/>
  <c r="K126" i="4"/>
  <c r="K62" i="4"/>
  <c r="I55" i="4"/>
  <c r="I39" i="4"/>
  <c r="I23" i="4"/>
  <c r="K139" i="4"/>
  <c r="K123" i="4"/>
  <c r="K107" i="4"/>
  <c r="K91" i="4"/>
  <c r="K75" i="4"/>
  <c r="I142" i="4"/>
  <c r="K45" i="4"/>
  <c r="I77" i="4"/>
  <c r="K130" i="4"/>
  <c r="K134" i="4"/>
  <c r="I117" i="4"/>
  <c r="I78" i="4"/>
  <c r="K53" i="4"/>
  <c r="K135" i="4"/>
  <c r="K119" i="4"/>
  <c r="K103" i="4"/>
  <c r="K87" i="4"/>
  <c r="K71" i="4"/>
  <c r="O24" i="5" l="1"/>
  <c r="AF87" i="5"/>
  <c r="H25" i="5"/>
  <c r="AF28" i="5"/>
  <c r="O14" i="5"/>
  <c r="AF19" i="5"/>
  <c r="I105" i="5"/>
  <c r="AF29" i="5"/>
  <c r="I87" i="5"/>
  <c r="O22" i="5"/>
  <c r="O20" i="5"/>
  <c r="O30" i="5"/>
  <c r="J29" i="5"/>
  <c r="K34" i="4"/>
  <c r="K145" i="4"/>
  <c r="I130" i="5" s="1"/>
  <c r="I72" i="5"/>
  <c r="J72" i="5"/>
  <c r="I38" i="5"/>
  <c r="J38" i="5"/>
  <c r="J60" i="5"/>
  <c r="I60" i="5"/>
  <c r="J10" i="5"/>
  <c r="I10" i="5"/>
  <c r="I6" i="5"/>
  <c r="J6" i="5"/>
  <c r="J68" i="5"/>
  <c r="I68" i="5"/>
  <c r="AF89" i="5"/>
  <c r="H89" i="5"/>
  <c r="AE89" i="5" s="1"/>
  <c r="I88" i="5"/>
  <c r="J88" i="5"/>
  <c r="K78" i="4"/>
  <c r="G63" i="5"/>
  <c r="K23" i="4"/>
  <c r="G8" i="5"/>
  <c r="J74" i="5"/>
  <c r="I74" i="5"/>
  <c r="AF129" i="5"/>
  <c r="H129" i="5"/>
  <c r="K138" i="4"/>
  <c r="G123" i="5"/>
  <c r="K109" i="4"/>
  <c r="G94" i="5"/>
  <c r="O26" i="5" s="1"/>
  <c r="I28" i="5"/>
  <c r="J28" i="5"/>
  <c r="J18" i="5"/>
  <c r="I18" i="5"/>
  <c r="I104" i="5"/>
  <c r="J104" i="5"/>
  <c r="J30" i="5"/>
  <c r="I30" i="5"/>
  <c r="I92" i="5"/>
  <c r="J92" i="5"/>
  <c r="I16" i="5"/>
  <c r="J16" i="5"/>
  <c r="J134" i="5"/>
  <c r="I134" i="5"/>
  <c r="I51" i="5"/>
  <c r="J51" i="5"/>
  <c r="K74" i="4"/>
  <c r="G59" i="5"/>
  <c r="J75" i="5"/>
  <c r="I75" i="5"/>
  <c r="J58" i="5"/>
  <c r="I58" i="5"/>
  <c r="J99" i="5"/>
  <c r="I99" i="5"/>
  <c r="I9" i="5"/>
  <c r="J9" i="5"/>
  <c r="AF55" i="5"/>
  <c r="H55" i="5"/>
  <c r="AE55" i="5" s="1"/>
  <c r="I41" i="5"/>
  <c r="J41" i="5"/>
  <c r="AF73" i="5"/>
  <c r="H73" i="5"/>
  <c r="AE73" i="5" s="1"/>
  <c r="AF67" i="5"/>
  <c r="H67" i="5"/>
  <c r="AE67" i="5" s="1"/>
  <c r="AF79" i="5"/>
  <c r="H79" i="5"/>
  <c r="AE79" i="5" s="1"/>
  <c r="O21" i="5"/>
  <c r="I5" i="5"/>
  <c r="J5" i="5"/>
  <c r="J11" i="5"/>
  <c r="I11" i="5"/>
  <c r="AF83" i="5"/>
  <c r="H83" i="5"/>
  <c r="AE83" i="5" s="1"/>
  <c r="AF93" i="5"/>
  <c r="H93" i="5"/>
  <c r="AE93" i="5" s="1"/>
  <c r="AF71" i="5"/>
  <c r="H71" i="5"/>
  <c r="AE71" i="5" s="1"/>
  <c r="H54" i="5"/>
  <c r="AE54" i="5" s="1"/>
  <c r="AF54" i="5"/>
  <c r="I33" i="5"/>
  <c r="J33" i="5"/>
  <c r="I121" i="5"/>
  <c r="J121" i="5"/>
  <c r="I52" i="5"/>
  <c r="J52" i="5"/>
  <c r="AF61" i="5"/>
  <c r="H61" i="5"/>
  <c r="AE61" i="5" s="1"/>
  <c r="I57" i="5"/>
  <c r="J57" i="5"/>
  <c r="AF23" i="5"/>
  <c r="H23" i="5"/>
  <c r="AF131" i="5"/>
  <c r="O36" i="5"/>
  <c r="H131" i="5"/>
  <c r="AE131" i="5" s="1"/>
  <c r="AF45" i="5"/>
  <c r="H45" i="5"/>
  <c r="AE45" i="5" s="1"/>
  <c r="J50" i="5"/>
  <c r="I50" i="5"/>
  <c r="I85" i="5"/>
  <c r="J85" i="5"/>
  <c r="I117" i="5"/>
  <c r="J117" i="5"/>
  <c r="I53" i="5"/>
  <c r="J53" i="5"/>
  <c r="I128" i="5"/>
  <c r="J128" i="5"/>
  <c r="K32" i="4"/>
  <c r="G17" i="5"/>
  <c r="K35" i="4"/>
  <c r="G20" i="5"/>
  <c r="I27" i="5"/>
  <c r="J27" i="5"/>
  <c r="I113" i="5"/>
  <c r="J113" i="5"/>
  <c r="K137" i="4"/>
  <c r="I111" i="5"/>
  <c r="J111" i="5"/>
  <c r="J107" i="5"/>
  <c r="I107" i="5"/>
  <c r="AE104" i="5"/>
  <c r="K117" i="4"/>
  <c r="G102" i="5"/>
  <c r="O28" i="5" s="1"/>
  <c r="K39" i="4"/>
  <c r="G24" i="5"/>
  <c r="I96" i="5"/>
  <c r="J96" i="5"/>
  <c r="K49" i="4"/>
  <c r="G34" i="5"/>
  <c r="I95" i="5"/>
  <c r="J95" i="5"/>
  <c r="I132" i="5"/>
  <c r="J132" i="5"/>
  <c r="I100" i="5"/>
  <c r="J100" i="5"/>
  <c r="K58" i="4"/>
  <c r="G43" i="5"/>
  <c r="I116" i="5"/>
  <c r="J116" i="5"/>
  <c r="I14" i="5"/>
  <c r="J14" i="5"/>
  <c r="I56" i="5"/>
  <c r="J56" i="5"/>
  <c r="I120" i="5"/>
  <c r="J120" i="5"/>
  <c r="I119" i="5"/>
  <c r="J119" i="5"/>
  <c r="K142" i="4"/>
  <c r="G127" i="5"/>
  <c r="I108" i="5"/>
  <c r="J108" i="5"/>
  <c r="K55" i="4"/>
  <c r="G40" i="5"/>
  <c r="I32" i="5"/>
  <c r="J32" i="5"/>
  <c r="I112" i="5"/>
  <c r="J112" i="5"/>
  <c r="K57" i="4"/>
  <c r="G42" i="5"/>
  <c r="K46" i="4"/>
  <c r="G31" i="5"/>
  <c r="K80" i="4"/>
  <c r="G65" i="5"/>
  <c r="K113" i="4"/>
  <c r="G98" i="5"/>
  <c r="O27" i="5" s="1"/>
  <c r="H130" i="5"/>
  <c r="AF130" i="5"/>
  <c r="K27" i="4"/>
  <c r="G12" i="5"/>
  <c r="J118" i="5"/>
  <c r="I118" i="5"/>
  <c r="I44" i="5"/>
  <c r="J44" i="5"/>
  <c r="I48" i="5"/>
  <c r="J48" i="5"/>
  <c r="J81" i="5"/>
  <c r="I81" i="5"/>
  <c r="I7" i="5"/>
  <c r="J7" i="5"/>
  <c r="I70" i="5"/>
  <c r="J70" i="5"/>
  <c r="I25" i="5"/>
  <c r="J25" i="5"/>
  <c r="J55" i="5"/>
  <c r="I55" i="5"/>
  <c r="AF35" i="5"/>
  <c r="H35" i="5"/>
  <c r="AE35" i="5" s="1"/>
  <c r="H22" i="5"/>
  <c r="AE22" i="5" s="1"/>
  <c r="AF22" i="5"/>
  <c r="I73" i="5"/>
  <c r="J73" i="5"/>
  <c r="J82" i="5"/>
  <c r="I82" i="5"/>
  <c r="J67" i="5"/>
  <c r="I67" i="5"/>
  <c r="J79" i="5"/>
  <c r="I79" i="5"/>
  <c r="AF37" i="5"/>
  <c r="H37" i="5"/>
  <c r="AE37" i="5" s="1"/>
  <c r="AF15" i="5"/>
  <c r="H15" i="5"/>
  <c r="H114" i="5"/>
  <c r="AE114" i="5" s="1"/>
  <c r="AF114" i="5"/>
  <c r="I83" i="5"/>
  <c r="J83" i="5"/>
  <c r="I93" i="5"/>
  <c r="J93" i="5"/>
  <c r="J71" i="5"/>
  <c r="I71" i="5"/>
  <c r="I54" i="5"/>
  <c r="J54" i="5"/>
  <c r="H46" i="5"/>
  <c r="AE46" i="5" s="1"/>
  <c r="AF46" i="5"/>
  <c r="J86" i="5"/>
  <c r="I86" i="5"/>
  <c r="I125" i="5"/>
  <c r="J125" i="5"/>
  <c r="I61" i="5"/>
  <c r="J61" i="5"/>
  <c r="AF77" i="5"/>
  <c r="H77" i="5"/>
  <c r="AE77" i="5" s="1"/>
  <c r="J23" i="5"/>
  <c r="I23" i="5"/>
  <c r="J131" i="5"/>
  <c r="I131" i="5"/>
  <c r="I45" i="5"/>
  <c r="J45" i="5"/>
  <c r="AF21" i="5"/>
  <c r="H21" i="5"/>
  <c r="AE21" i="5" s="1"/>
  <c r="AF69" i="5"/>
  <c r="H69" i="5"/>
  <c r="AF133" i="5"/>
  <c r="H133" i="5"/>
  <c r="AE133" i="5" s="1"/>
  <c r="K116" i="4"/>
  <c r="I35" i="5"/>
  <c r="J35" i="5"/>
  <c r="H78" i="5"/>
  <c r="AE78" i="5" s="1"/>
  <c r="AF78" i="5"/>
  <c r="I22" i="5"/>
  <c r="J22" i="5"/>
  <c r="AF107" i="5"/>
  <c r="H107" i="5"/>
  <c r="AE107" i="5" s="1"/>
  <c r="H18" i="5"/>
  <c r="AE18" i="5" s="1"/>
  <c r="AF18" i="5"/>
  <c r="H36" i="5"/>
  <c r="AF36" i="5"/>
  <c r="O12" i="5"/>
  <c r="AE4" i="5"/>
  <c r="AE72" i="5"/>
  <c r="I37" i="5"/>
  <c r="J37" i="5"/>
  <c r="J15" i="5"/>
  <c r="I15" i="5"/>
  <c r="I114" i="5"/>
  <c r="J114" i="5"/>
  <c r="H126" i="5"/>
  <c r="AE126" i="5" s="1"/>
  <c r="AF126" i="5"/>
  <c r="AF103" i="5"/>
  <c r="H103" i="5"/>
  <c r="AE103" i="5" s="1"/>
  <c r="AF97" i="5"/>
  <c r="H97" i="5"/>
  <c r="AE97" i="5" s="1"/>
  <c r="I46" i="5"/>
  <c r="J46" i="5"/>
  <c r="H110" i="5"/>
  <c r="AE110" i="5" s="1"/>
  <c r="AF110" i="5"/>
  <c r="O35" i="5"/>
  <c r="O23" i="5"/>
  <c r="I77" i="5"/>
  <c r="J77" i="5"/>
  <c r="H66" i="5"/>
  <c r="AE66" i="5" s="1"/>
  <c r="AF66" i="5"/>
  <c r="AF13" i="5"/>
  <c r="H13" i="5"/>
  <c r="AE13" i="5" s="1"/>
  <c r="AF109" i="5"/>
  <c r="H109" i="5"/>
  <c r="AE109" i="5" s="1"/>
  <c r="I21" i="5"/>
  <c r="J21" i="5"/>
  <c r="I69" i="5"/>
  <c r="J69" i="5"/>
  <c r="I133" i="5"/>
  <c r="J133" i="5"/>
  <c r="J115" i="5"/>
  <c r="I115" i="5"/>
  <c r="I124" i="5"/>
  <c r="J124" i="5"/>
  <c r="J47" i="5"/>
  <c r="I47" i="5"/>
  <c r="I64" i="5"/>
  <c r="J64" i="5"/>
  <c r="K121" i="4"/>
  <c r="G106" i="5"/>
  <c r="J4" i="5"/>
  <c r="I4" i="5"/>
  <c r="H122" i="5"/>
  <c r="AE122" i="5" s="1"/>
  <c r="AF122" i="5"/>
  <c r="K77" i="4"/>
  <c r="G62" i="5"/>
  <c r="I76" i="5"/>
  <c r="J76" i="5"/>
  <c r="I80" i="5"/>
  <c r="J80" i="5"/>
  <c r="K41" i="4"/>
  <c r="G26" i="5"/>
  <c r="J49" i="5"/>
  <c r="I49" i="5"/>
  <c r="I84" i="5"/>
  <c r="J84" i="5"/>
  <c r="K144" i="4"/>
  <c r="K106" i="4"/>
  <c r="G91" i="5"/>
  <c r="O25" i="5" s="1"/>
  <c r="I90" i="5"/>
  <c r="J90" i="5"/>
  <c r="J39" i="5"/>
  <c r="I39" i="5"/>
  <c r="AF9" i="5"/>
  <c r="H9" i="5"/>
  <c r="AE9" i="5" s="1"/>
  <c r="I89" i="5"/>
  <c r="J89" i="5"/>
  <c r="H14" i="5"/>
  <c r="AE14" i="5" s="1"/>
  <c r="AF14" i="5"/>
  <c r="I78" i="5"/>
  <c r="J78" i="5"/>
  <c r="J36" i="5"/>
  <c r="I36" i="5"/>
  <c r="AF5" i="5"/>
  <c r="H5" i="5"/>
  <c r="AE5" i="5" s="1"/>
  <c r="AF11" i="5"/>
  <c r="H11" i="5"/>
  <c r="AE11" i="5" s="1"/>
  <c r="J126" i="5"/>
  <c r="I126" i="5"/>
  <c r="I103" i="5"/>
  <c r="J103" i="5"/>
  <c r="I97" i="5"/>
  <c r="J97" i="5"/>
  <c r="AF101" i="5"/>
  <c r="H101" i="5"/>
  <c r="AE101" i="5" s="1"/>
  <c r="J110" i="5"/>
  <c r="I110" i="5"/>
  <c r="H52" i="5"/>
  <c r="AE52" i="5" s="1"/>
  <c r="AF52" i="5"/>
  <c r="O16" i="5"/>
  <c r="AF57" i="5"/>
  <c r="H57" i="5"/>
  <c r="AE57" i="5" s="1"/>
  <c r="J66" i="5"/>
  <c r="I66" i="5"/>
  <c r="I13" i="5"/>
  <c r="J13" i="5"/>
  <c r="I109" i="5"/>
  <c r="J109" i="5"/>
  <c r="H50" i="5"/>
  <c r="AE50" i="5" s="1"/>
  <c r="AF50" i="5"/>
  <c r="AF85" i="5"/>
  <c r="H85" i="5"/>
  <c r="AF117" i="5"/>
  <c r="H117" i="5"/>
  <c r="AE117" i="5" s="1"/>
  <c r="AF53" i="5"/>
  <c r="H53" i="5"/>
  <c r="AE53" i="5" s="1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A112" i="4"/>
  <c r="B112" i="4"/>
  <c r="C112" i="4"/>
  <c r="D112" i="4"/>
  <c r="A113" i="4"/>
  <c r="B113" i="4"/>
  <c r="C113" i="4"/>
  <c r="D113" i="4"/>
  <c r="A114" i="4"/>
  <c r="B114" i="4"/>
  <c r="C114" i="4"/>
  <c r="D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A120" i="4"/>
  <c r="B120" i="4"/>
  <c r="C120" i="4"/>
  <c r="D120" i="4"/>
  <c r="A121" i="4"/>
  <c r="B121" i="4"/>
  <c r="C121" i="4"/>
  <c r="D121" i="4"/>
  <c r="A122" i="4"/>
  <c r="B122" i="4"/>
  <c r="C122" i="4"/>
  <c r="D122" i="4"/>
  <c r="A123" i="4"/>
  <c r="B123" i="4"/>
  <c r="C123" i="4"/>
  <c r="D123" i="4"/>
  <c r="A124" i="4"/>
  <c r="B124" i="4"/>
  <c r="C124" i="4"/>
  <c r="D124" i="4"/>
  <c r="A125" i="4"/>
  <c r="B125" i="4"/>
  <c r="C125" i="4"/>
  <c r="D125" i="4"/>
  <c r="A126" i="4"/>
  <c r="B126" i="4"/>
  <c r="C126" i="4"/>
  <c r="D126" i="4"/>
  <c r="A127" i="4"/>
  <c r="B127" i="4"/>
  <c r="C127" i="4"/>
  <c r="D127" i="4"/>
  <c r="A128" i="4"/>
  <c r="B128" i="4"/>
  <c r="C128" i="4"/>
  <c r="D128" i="4"/>
  <c r="A129" i="4"/>
  <c r="B129" i="4"/>
  <c r="C129" i="4"/>
  <c r="D129" i="4"/>
  <c r="A130" i="4"/>
  <c r="B130" i="4"/>
  <c r="C130" i="4"/>
  <c r="D130" i="4"/>
  <c r="A131" i="4"/>
  <c r="B131" i="4"/>
  <c r="C131" i="4"/>
  <c r="D131" i="4"/>
  <c r="A132" i="4"/>
  <c r="B132" i="4"/>
  <c r="C132" i="4"/>
  <c r="D132" i="4"/>
  <c r="A133" i="4"/>
  <c r="B133" i="4"/>
  <c r="C133" i="4"/>
  <c r="D133" i="4"/>
  <c r="A134" i="4"/>
  <c r="B134" i="4"/>
  <c r="C134" i="4"/>
  <c r="D134" i="4"/>
  <c r="A135" i="4"/>
  <c r="B135" i="4"/>
  <c r="C135" i="4"/>
  <c r="D135" i="4"/>
  <c r="A136" i="4"/>
  <c r="B136" i="4"/>
  <c r="C136" i="4"/>
  <c r="D136" i="4"/>
  <c r="A137" i="4"/>
  <c r="B137" i="4"/>
  <c r="C137" i="4"/>
  <c r="D137" i="4"/>
  <c r="A138" i="4"/>
  <c r="B138" i="4"/>
  <c r="C138" i="4"/>
  <c r="D138" i="4"/>
  <c r="A139" i="4"/>
  <c r="B139" i="4"/>
  <c r="C139" i="4"/>
  <c r="D139" i="4"/>
  <c r="A140" i="4"/>
  <c r="B140" i="4"/>
  <c r="C140" i="4"/>
  <c r="D140" i="4"/>
  <c r="A141" i="4"/>
  <c r="B141" i="4"/>
  <c r="C141" i="4"/>
  <c r="D141" i="4"/>
  <c r="A142" i="4"/>
  <c r="B142" i="4"/>
  <c r="C142" i="4"/>
  <c r="D142" i="4"/>
  <c r="A143" i="4"/>
  <c r="B143" i="4"/>
  <c r="C143" i="4"/>
  <c r="D143" i="4"/>
  <c r="A144" i="4"/>
  <c r="B144" i="4"/>
  <c r="C144" i="4"/>
  <c r="D144" i="4"/>
  <c r="A145" i="4"/>
  <c r="B145" i="4"/>
  <c r="C145" i="4"/>
  <c r="D145" i="4"/>
  <c r="A146" i="4"/>
  <c r="B146" i="4"/>
  <c r="C146" i="4"/>
  <c r="D146" i="4"/>
  <c r="A147" i="4"/>
  <c r="B147" i="4"/>
  <c r="C147" i="4"/>
  <c r="D147" i="4"/>
  <c r="A148" i="4"/>
  <c r="B148" i="4"/>
  <c r="C148" i="4"/>
  <c r="D148" i="4"/>
  <c r="A149" i="4"/>
  <c r="B149" i="4"/>
  <c r="C149" i="4"/>
  <c r="D149" i="4"/>
  <c r="B19" i="4"/>
  <c r="C19" i="4"/>
  <c r="D19" i="4"/>
  <c r="A19" i="4"/>
  <c r="T11" i="5" l="1"/>
  <c r="C41" i="6" s="1"/>
  <c r="AE6" i="5"/>
  <c r="P24" i="5"/>
  <c r="P23" i="5"/>
  <c r="J130" i="5"/>
  <c r="P15" i="5"/>
  <c r="I19" i="5"/>
  <c r="J19" i="5"/>
  <c r="E4" i="4"/>
  <c r="B15" i="6" s="1"/>
  <c r="P36" i="5"/>
  <c r="P12" i="5"/>
  <c r="J91" i="5"/>
  <c r="I91" i="5"/>
  <c r="P25" i="5" s="1"/>
  <c r="H62" i="5"/>
  <c r="AF62" i="5"/>
  <c r="O18" i="5"/>
  <c r="E5" i="4"/>
  <c r="B16" i="6" s="1"/>
  <c r="P14" i="5"/>
  <c r="J12" i="5"/>
  <c r="I12" i="5"/>
  <c r="P6" i="5" s="1"/>
  <c r="I98" i="5"/>
  <c r="P27" i="5" s="1"/>
  <c r="J98" i="5"/>
  <c r="J31" i="5"/>
  <c r="I31" i="5"/>
  <c r="P10" i="5" s="1"/>
  <c r="P31" i="5"/>
  <c r="I40" i="5"/>
  <c r="J40" i="5"/>
  <c r="I127" i="5"/>
  <c r="P34" i="5" s="1"/>
  <c r="J127" i="5"/>
  <c r="J43" i="5"/>
  <c r="I43" i="5"/>
  <c r="J34" i="5"/>
  <c r="I34" i="5"/>
  <c r="P11" i="5" s="1"/>
  <c r="I24" i="5"/>
  <c r="J24" i="5"/>
  <c r="AF17" i="5"/>
  <c r="H17" i="5"/>
  <c r="AE17" i="5" s="1"/>
  <c r="O7" i="5"/>
  <c r="P16" i="5"/>
  <c r="J94" i="5"/>
  <c r="I94" i="5"/>
  <c r="P26" i="5" s="1"/>
  <c r="I8" i="5"/>
  <c r="P5" i="5" s="1"/>
  <c r="J8" i="5"/>
  <c r="P21" i="5"/>
  <c r="I129" i="5"/>
  <c r="P35" i="5" s="1"/>
  <c r="J129" i="5"/>
  <c r="J62" i="5"/>
  <c r="I62" i="5"/>
  <c r="E7" i="4"/>
  <c r="B18" i="6" s="1"/>
  <c r="AF65" i="5"/>
  <c r="H65" i="5"/>
  <c r="AE65" i="5" s="1"/>
  <c r="O19" i="5"/>
  <c r="H42" i="5"/>
  <c r="AE42" i="5" s="1"/>
  <c r="AF42" i="5"/>
  <c r="H102" i="5"/>
  <c r="AE102" i="5" s="1"/>
  <c r="AF102" i="5"/>
  <c r="I122" i="5"/>
  <c r="J122" i="5"/>
  <c r="J17" i="5"/>
  <c r="I17" i="5"/>
  <c r="T10" i="5"/>
  <c r="B41" i="6" s="1"/>
  <c r="AF59" i="5"/>
  <c r="H59" i="5"/>
  <c r="AE59" i="5" s="1"/>
  <c r="O17" i="5"/>
  <c r="T8" i="5" s="1"/>
  <c r="C40" i="6" s="1"/>
  <c r="AF123" i="5"/>
  <c r="H123" i="5"/>
  <c r="AE123" i="5" s="1"/>
  <c r="AF63" i="5"/>
  <c r="H63" i="5"/>
  <c r="P20" i="5"/>
  <c r="T12" i="5"/>
  <c r="D41" i="6" s="1"/>
  <c r="H26" i="5"/>
  <c r="AE26" i="5" s="1"/>
  <c r="AF26" i="5"/>
  <c r="P4" i="5"/>
  <c r="H106" i="5"/>
  <c r="AF106" i="5"/>
  <c r="O29" i="5"/>
  <c r="T13" i="5" s="1"/>
  <c r="B42" i="6" s="1"/>
  <c r="I65" i="5"/>
  <c r="P19" i="5" s="1"/>
  <c r="J65" i="5"/>
  <c r="J42" i="5"/>
  <c r="I42" i="5"/>
  <c r="P30" i="5"/>
  <c r="P32" i="5"/>
  <c r="J102" i="5"/>
  <c r="I102" i="5"/>
  <c r="H20" i="5"/>
  <c r="AE20" i="5" s="1"/>
  <c r="AF20" i="5"/>
  <c r="O8" i="5"/>
  <c r="I59" i="5"/>
  <c r="P17" i="5" s="1"/>
  <c r="J59" i="5"/>
  <c r="J123" i="5"/>
  <c r="I123" i="5"/>
  <c r="J63" i="5"/>
  <c r="I63" i="5"/>
  <c r="O33" i="5"/>
  <c r="T14" i="5" s="1"/>
  <c r="C42" i="6" s="1"/>
  <c r="I101" i="5"/>
  <c r="J101" i="5"/>
  <c r="AF91" i="5"/>
  <c r="H91" i="5"/>
  <c r="J26" i="5"/>
  <c r="I26" i="5"/>
  <c r="P22" i="5"/>
  <c r="E6" i="4"/>
  <c r="B17" i="6" s="1"/>
  <c r="I106" i="5"/>
  <c r="P29" i="5" s="1"/>
  <c r="J106" i="5"/>
  <c r="AE36" i="5"/>
  <c r="AF12" i="5"/>
  <c r="O6" i="5"/>
  <c r="H12" i="5"/>
  <c r="AE12" i="5" s="1"/>
  <c r="H98" i="5"/>
  <c r="AE98" i="5" s="1"/>
  <c r="AF98" i="5"/>
  <c r="AF31" i="5"/>
  <c r="H31" i="5"/>
  <c r="AE31" i="5" s="1"/>
  <c r="O10" i="5"/>
  <c r="H40" i="5"/>
  <c r="AE40" i="5" s="1"/>
  <c r="O13" i="5"/>
  <c r="T7" i="5" s="1"/>
  <c r="B40" i="6" s="1"/>
  <c r="AF40" i="5"/>
  <c r="AF127" i="5"/>
  <c r="H127" i="5"/>
  <c r="AE127" i="5" s="1"/>
  <c r="O34" i="5"/>
  <c r="T15" i="5" s="1"/>
  <c r="D42" i="6" s="1"/>
  <c r="AF43" i="5"/>
  <c r="H43" i="5"/>
  <c r="AE43" i="5" s="1"/>
  <c r="H34" i="5"/>
  <c r="AE34" i="5" s="1"/>
  <c r="AF34" i="5"/>
  <c r="O11" i="5"/>
  <c r="H24" i="5"/>
  <c r="AE24" i="5" s="1"/>
  <c r="O9" i="5"/>
  <c r="AF24" i="5"/>
  <c r="I20" i="5"/>
  <c r="P8" i="5" s="1"/>
  <c r="J20" i="5"/>
  <c r="H94" i="5"/>
  <c r="AE94" i="5" s="1"/>
  <c r="AF94" i="5"/>
  <c r="O5" i="5"/>
  <c r="AF8" i="5"/>
  <c r="H8" i="5"/>
  <c r="AE8" i="5" s="1"/>
  <c r="AE76" i="5" l="1"/>
  <c r="AE129" i="5"/>
  <c r="AE62" i="5"/>
  <c r="AE85" i="5"/>
  <c r="AE134" i="5"/>
  <c r="AE87" i="5"/>
  <c r="AE105" i="5"/>
  <c r="AE27" i="5"/>
  <c r="AE63" i="5"/>
  <c r="AE130" i="5"/>
  <c r="AE19" i="5"/>
  <c r="AE25" i="5"/>
  <c r="AE112" i="5"/>
  <c r="AE69" i="5"/>
  <c r="AE23" i="5"/>
  <c r="AE15" i="5"/>
  <c r="B99" i="6"/>
  <c r="A133" i="6" s="1"/>
  <c r="P18" i="5"/>
  <c r="P7" i="5"/>
  <c r="B19" i="6"/>
  <c r="AA7" i="5"/>
  <c r="E34" i="6" s="1"/>
  <c r="AA6" i="5"/>
  <c r="E33" i="6" s="1"/>
  <c r="AA4" i="5"/>
  <c r="E31" i="6" s="1"/>
  <c r="Z6" i="5"/>
  <c r="D33" i="6" s="1"/>
  <c r="Z7" i="5"/>
  <c r="D34" i="6" s="1"/>
  <c r="AA5" i="5"/>
  <c r="E32" i="6" s="1"/>
  <c r="E8" i="4"/>
  <c r="AB4" i="5"/>
  <c r="B23" i="6" s="1"/>
  <c r="P28" i="5"/>
  <c r="AC6" i="5" s="1"/>
  <c r="F33" i="6" s="1"/>
  <c r="P33" i="5"/>
  <c r="AC7" i="5" s="1"/>
  <c r="F34" i="6" s="1"/>
  <c r="P13" i="5"/>
  <c r="T6" i="5"/>
  <c r="D39" i="6" s="1"/>
  <c r="X7" i="5"/>
  <c r="Z4" i="5"/>
  <c r="D31" i="6" s="1"/>
  <c r="T4" i="5"/>
  <c r="B39" i="6" s="1"/>
  <c r="G40" i="6" s="1"/>
  <c r="AB5" i="5"/>
  <c r="B24" i="6" s="1"/>
  <c r="X6" i="5"/>
  <c r="Z5" i="5"/>
  <c r="D32" i="6" s="1"/>
  <c r="AE91" i="5"/>
  <c r="AB6" i="5"/>
  <c r="B25" i="6" s="1"/>
  <c r="AE106" i="5"/>
  <c r="AB7" i="5"/>
  <c r="B26" i="6" s="1"/>
  <c r="T5" i="5"/>
  <c r="C39" i="6" s="1"/>
  <c r="P9" i="5"/>
  <c r="T9" i="5"/>
  <c r="AC5" i="5" l="1"/>
  <c r="F32" i="6" s="1"/>
  <c r="A106" i="6"/>
  <c r="B106" i="6" s="1"/>
  <c r="AC4" i="5"/>
  <c r="F31" i="6" s="1"/>
  <c r="A103" i="6"/>
  <c r="B103" i="6" s="1"/>
  <c r="I5" i="7"/>
  <c r="A122" i="6"/>
  <c r="D122" i="6" s="1"/>
  <c r="A120" i="6"/>
  <c r="E120" i="6" s="1"/>
  <c r="A118" i="6"/>
  <c r="C118" i="6" s="1"/>
  <c r="A117" i="6"/>
  <c r="D117" i="6" s="1"/>
  <c r="A104" i="6"/>
  <c r="E104" i="6" s="1"/>
  <c r="A128" i="6"/>
  <c r="E128" i="6" s="1"/>
  <c r="A131" i="6"/>
  <c r="B131" i="6" s="1"/>
  <c r="A112" i="6"/>
  <c r="D112" i="6" s="1"/>
  <c r="A119" i="6"/>
  <c r="E119" i="6" s="1"/>
  <c r="A125" i="6"/>
  <c r="B125" i="6" s="1"/>
  <c r="A109" i="6"/>
  <c r="E109" i="6" s="1"/>
  <c r="A115" i="6"/>
  <c r="C115" i="6" s="1"/>
  <c r="A130" i="6"/>
  <c r="B130" i="6" s="1"/>
  <c r="A114" i="6"/>
  <c r="C114" i="6" s="1"/>
  <c r="A132" i="6"/>
  <c r="E132" i="6" s="1"/>
  <c r="A124" i="6"/>
  <c r="E124" i="6" s="1"/>
  <c r="A116" i="6"/>
  <c r="E116" i="6" s="1"/>
  <c r="A108" i="6"/>
  <c r="C108" i="6" s="1"/>
  <c r="A127" i="6"/>
  <c r="E127" i="6" s="1"/>
  <c r="A111" i="6"/>
  <c r="C111" i="6" s="1"/>
  <c r="A126" i="6"/>
  <c r="B126" i="6" s="1"/>
  <c r="A110" i="6"/>
  <c r="B110" i="6" s="1"/>
  <c r="A129" i="6"/>
  <c r="E129" i="6" s="1"/>
  <c r="A121" i="6"/>
  <c r="E121" i="6" s="1"/>
  <c r="A113" i="6"/>
  <c r="D113" i="6" s="1"/>
  <c r="A105" i="6"/>
  <c r="E105" i="6" s="1"/>
  <c r="A123" i="6"/>
  <c r="E123" i="6" s="1"/>
  <c r="A107" i="6"/>
  <c r="D107" i="6" s="1"/>
  <c r="C106" i="6"/>
  <c r="X5" i="5"/>
  <c r="D40" i="6"/>
  <c r="Y6" i="5"/>
  <c r="C33" i="6" s="1"/>
  <c r="E41" i="6"/>
  <c r="B33" i="6"/>
  <c r="F5" i="7" s="1"/>
  <c r="Y7" i="5"/>
  <c r="C34" i="6" s="1"/>
  <c r="B34" i="6"/>
  <c r="G5" i="7" s="1"/>
  <c r="E42" i="6"/>
  <c r="AA9" i="5"/>
  <c r="X4" i="5"/>
  <c r="AB9" i="5"/>
  <c r="B22" i="6" s="1"/>
  <c r="H5" i="7" s="1"/>
  <c r="Z9" i="5"/>
  <c r="X10" i="5" l="1"/>
  <c r="AC9" i="5"/>
  <c r="D106" i="6"/>
  <c r="E106" i="6"/>
  <c r="C103" i="6"/>
  <c r="D103" i="6"/>
  <c r="E103" i="6"/>
  <c r="C110" i="6"/>
  <c r="B120" i="6"/>
  <c r="E125" i="6"/>
  <c r="B128" i="6"/>
  <c r="D105" i="6"/>
  <c r="B104" i="6"/>
  <c r="E111" i="6"/>
  <c r="B119" i="6"/>
  <c r="E122" i="6"/>
  <c r="C126" i="6"/>
  <c r="C113" i="6"/>
  <c r="B116" i="6"/>
  <c r="C119" i="6"/>
  <c r="D104" i="6"/>
  <c r="B122" i="6"/>
  <c r="B113" i="6"/>
  <c r="E126" i="6"/>
  <c r="D114" i="6"/>
  <c r="D119" i="6"/>
  <c r="C104" i="6"/>
  <c r="C122" i="6"/>
  <c r="E113" i="6"/>
  <c r="D126" i="6"/>
  <c r="E108" i="6"/>
  <c r="E130" i="6"/>
  <c r="C116" i="6"/>
  <c r="C130" i="6"/>
  <c r="C120" i="6"/>
  <c r="D128" i="6"/>
  <c r="C105" i="6"/>
  <c r="E110" i="6"/>
  <c r="B108" i="6"/>
  <c r="E114" i="6"/>
  <c r="D125" i="6"/>
  <c r="D120" i="6"/>
  <c r="C128" i="6"/>
  <c r="B105" i="6"/>
  <c r="D110" i="6"/>
  <c r="D108" i="6"/>
  <c r="B114" i="6"/>
  <c r="C125" i="6"/>
  <c r="D131" i="6"/>
  <c r="B123" i="6"/>
  <c r="B132" i="6"/>
  <c r="D121" i="6"/>
  <c r="D129" i="6"/>
  <c r="D118" i="6"/>
  <c r="C117" i="6"/>
  <c r="C112" i="6"/>
  <c r="E107" i="6"/>
  <c r="D115" i="6"/>
  <c r="B124" i="6"/>
  <c r="E131" i="6"/>
  <c r="E118" i="6"/>
  <c r="C107" i="6"/>
  <c r="C121" i="6"/>
  <c r="B112" i="6"/>
  <c r="B107" i="6"/>
  <c r="B121" i="6"/>
  <c r="E115" i="6"/>
  <c r="D109" i="6"/>
  <c r="B111" i="6"/>
  <c r="C124" i="6"/>
  <c r="C131" i="6"/>
  <c r="E117" i="6"/>
  <c r="B118" i="6"/>
  <c r="E112" i="6"/>
  <c r="B115" i="6"/>
  <c r="D111" i="6"/>
  <c r="D124" i="6"/>
  <c r="B117" i="6"/>
  <c r="D123" i="6"/>
  <c r="C123" i="6"/>
  <c r="C129" i="6"/>
  <c r="C109" i="6"/>
  <c r="C127" i="6"/>
  <c r="D132" i="6"/>
  <c r="B129" i="6"/>
  <c r="B109" i="6"/>
  <c r="B127" i="6"/>
  <c r="C132" i="6"/>
  <c r="D127" i="6"/>
  <c r="D116" i="6"/>
  <c r="D130" i="6"/>
  <c r="A96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Y4" i="5"/>
  <c r="C31" i="6" s="1"/>
  <c r="B31" i="6"/>
  <c r="D5" i="7" s="1"/>
  <c r="E39" i="6"/>
  <c r="Y5" i="5"/>
  <c r="C32" i="6" s="1"/>
  <c r="B32" i="6"/>
  <c r="E5" i="7" s="1"/>
  <c r="E40" i="6"/>
  <c r="D92" i="6" l="1"/>
  <c r="C92" i="6"/>
  <c r="B92" i="6"/>
  <c r="D88" i="6"/>
  <c r="C88" i="6"/>
  <c r="B88" i="6"/>
  <c r="D84" i="6"/>
  <c r="C84" i="6"/>
  <c r="B84" i="6"/>
  <c r="D80" i="6"/>
  <c r="B80" i="6"/>
  <c r="C80" i="6"/>
  <c r="D76" i="6"/>
  <c r="B76" i="6"/>
  <c r="C76" i="6"/>
  <c r="D72" i="6"/>
  <c r="B72" i="6"/>
  <c r="C72" i="6"/>
  <c r="D68" i="6"/>
  <c r="B68" i="6"/>
  <c r="C68" i="6"/>
  <c r="D64" i="6"/>
  <c r="B64" i="6"/>
  <c r="C64" i="6"/>
  <c r="D60" i="6"/>
  <c r="B60" i="6"/>
  <c r="C60" i="6"/>
  <c r="D56" i="6"/>
  <c r="B56" i="6"/>
  <c r="C56" i="6"/>
  <c r="D52" i="6"/>
  <c r="B52" i="6"/>
  <c r="C52" i="6"/>
  <c r="D48" i="6"/>
  <c r="B48" i="6"/>
  <c r="C48" i="6"/>
  <c r="D95" i="6"/>
  <c r="C95" i="6"/>
  <c r="B95" i="6"/>
  <c r="D91" i="6"/>
  <c r="C91" i="6"/>
  <c r="B91" i="6"/>
  <c r="D87" i="6"/>
  <c r="C87" i="6"/>
  <c r="B87" i="6"/>
  <c r="D83" i="6"/>
  <c r="C83" i="6"/>
  <c r="B83" i="6"/>
  <c r="D79" i="6"/>
  <c r="B79" i="6"/>
  <c r="C79" i="6"/>
  <c r="D75" i="6"/>
  <c r="B75" i="6"/>
  <c r="C75" i="6"/>
  <c r="D71" i="6"/>
  <c r="B71" i="6"/>
  <c r="C71" i="6"/>
  <c r="D67" i="6"/>
  <c r="B67" i="6"/>
  <c r="C67" i="6"/>
  <c r="D63" i="6"/>
  <c r="B63" i="6"/>
  <c r="C63" i="6"/>
  <c r="D59" i="6"/>
  <c r="B59" i="6"/>
  <c r="C59" i="6"/>
  <c r="D55" i="6"/>
  <c r="B55" i="6"/>
  <c r="C55" i="6"/>
  <c r="D51" i="6"/>
  <c r="B51" i="6"/>
  <c r="C51" i="6"/>
  <c r="D47" i="6"/>
  <c r="B47" i="6"/>
  <c r="C47" i="6"/>
  <c r="D94" i="6"/>
  <c r="C94" i="6"/>
  <c r="B94" i="6"/>
  <c r="D86" i="6"/>
  <c r="B86" i="6"/>
  <c r="C86" i="6"/>
  <c r="D78" i="6"/>
  <c r="B78" i="6"/>
  <c r="C78" i="6"/>
  <c r="D74" i="6"/>
  <c r="B74" i="6"/>
  <c r="C74" i="6"/>
  <c r="D70" i="6"/>
  <c r="B70" i="6"/>
  <c r="C70" i="6"/>
  <c r="D66" i="6"/>
  <c r="B66" i="6"/>
  <c r="C66" i="6"/>
  <c r="D62" i="6"/>
  <c r="C62" i="6"/>
  <c r="B62" i="6"/>
  <c r="D58" i="6"/>
  <c r="B58" i="6"/>
  <c r="C58" i="6"/>
  <c r="D54" i="6"/>
  <c r="B54" i="6"/>
  <c r="C54" i="6"/>
  <c r="D50" i="6"/>
  <c r="B50" i="6"/>
  <c r="C50" i="6"/>
  <c r="D46" i="6"/>
  <c r="B46" i="6"/>
  <c r="C46" i="6"/>
  <c r="D90" i="6"/>
  <c r="C90" i="6"/>
  <c r="B90" i="6"/>
  <c r="D82" i="6"/>
  <c r="B82" i="6"/>
  <c r="C82" i="6"/>
  <c r="D93" i="6"/>
  <c r="C93" i="6"/>
  <c r="B93" i="6"/>
  <c r="D89" i="6"/>
  <c r="B89" i="6"/>
  <c r="C89" i="6"/>
  <c r="D85" i="6"/>
  <c r="B85" i="6"/>
  <c r="C85" i="6"/>
  <c r="D81" i="6"/>
  <c r="B81" i="6"/>
  <c r="C81" i="6"/>
  <c r="D77" i="6"/>
  <c r="B77" i="6"/>
  <c r="C77" i="6"/>
  <c r="D73" i="6"/>
  <c r="B73" i="6"/>
  <c r="C73" i="6"/>
  <c r="D69" i="6"/>
  <c r="B69" i="6"/>
  <c r="C69" i="6"/>
  <c r="D65" i="6"/>
  <c r="B65" i="6"/>
  <c r="C65" i="6"/>
  <c r="D61" i="6"/>
  <c r="C61" i="6"/>
  <c r="B61" i="6"/>
  <c r="D57" i="6"/>
  <c r="B57" i="6"/>
  <c r="C57" i="6"/>
  <c r="D53" i="6"/>
  <c r="B53" i="6"/>
  <c r="C53" i="6"/>
  <c r="D49" i="6"/>
  <c r="B49" i="6"/>
  <c r="C49" i="6"/>
</calcChain>
</file>

<file path=xl/sharedStrings.xml><?xml version="1.0" encoding="utf-8"?>
<sst xmlns="http://schemas.openxmlformats.org/spreadsheetml/2006/main" count="2487" uniqueCount="1061">
  <si>
    <t>DIMENSION</t>
  </si>
  <si>
    <t>PARAMETRE</t>
  </si>
  <si>
    <t>CODE INDICATEUR</t>
  </si>
  <si>
    <t xml:space="preserve">CODE SOUS INDICATEUR </t>
  </si>
  <si>
    <t>SOUS INDICATEUR</t>
  </si>
  <si>
    <t>TYPE</t>
  </si>
  <si>
    <t>CODE KOBO</t>
  </si>
  <si>
    <t>Santé</t>
  </si>
  <si>
    <t>Prévention</t>
  </si>
  <si>
    <t>SA-PRV-1</t>
  </si>
  <si>
    <t>Maîtrise des poussières à la source</t>
  </si>
  <si>
    <t>SA-PRV-1.1</t>
  </si>
  <si>
    <t>Présence d'un moyen d'arrosage en état de fonctionner et affecté au chantier</t>
  </si>
  <si>
    <t>SA_PRV_1_1</t>
  </si>
  <si>
    <t>SA-PRV-1.2</t>
  </si>
  <si>
    <t>Présence de bâches ou de couverture sur les stocks de matériaux fins</t>
  </si>
  <si>
    <t>SA_PRV_1_2</t>
  </si>
  <si>
    <t>SA-PRV-1.3</t>
  </si>
  <si>
    <t>Absence de nuage de poussière constaté au cours de la visite</t>
  </si>
  <si>
    <t>SA_PRV_1_3</t>
  </si>
  <si>
    <t>SA-PRV-1.4</t>
  </si>
  <si>
    <t>Présence d’eau au poste de découpe humide</t>
  </si>
  <si>
    <t>SA_PRV_1_4</t>
  </si>
  <si>
    <t>SA-PRV-2</t>
  </si>
  <si>
    <t>Salubrité des lieux de travail et maîtrise des vecteurs</t>
  </si>
  <si>
    <t>SA-PRV-2.1</t>
  </si>
  <si>
    <t>Présence d'un planning de nettoyage du chantier</t>
  </si>
  <si>
    <t>SA_PRV_2_1</t>
  </si>
  <si>
    <t>SA-PRV-2.2</t>
  </si>
  <si>
    <t>Absence de déchets alimentaires ou de restes de repas abandonnés sur l'emprise</t>
  </si>
  <si>
    <t>SA_PRV_2_2</t>
  </si>
  <si>
    <t>SA-PRV-2.3</t>
  </si>
  <si>
    <t>Présence d'un drainage ou d'un écoulement entretenu évitant la stagnation d'eau</t>
  </si>
  <si>
    <t>SA_PRV_2_3</t>
  </si>
  <si>
    <t>SA-PRV-2.4</t>
  </si>
  <si>
    <t>Absence de récipients, pneus ou débris retenant l'eau sur l'emprise</t>
  </si>
  <si>
    <t>SA_PRV_2_4</t>
  </si>
  <si>
    <t>SA-PRV-3</t>
  </si>
  <si>
    <t>Information et sensibilisation des travailleurs aux risques sanitaires</t>
  </si>
  <si>
    <t>SA-PRV-3.1</t>
  </si>
  <si>
    <t>Tenue d'un registre des séances de sensibilisation aux risques sanitaires</t>
  </si>
  <si>
    <t>SA_PRV_3_1</t>
  </si>
  <si>
    <t>SA-PRV-3.2</t>
  </si>
  <si>
    <t>Présence d'un responsable HSE désigné sur le chantier</t>
  </si>
  <si>
    <t>SA_PRV_3_2</t>
  </si>
  <si>
    <t>SA-PRV-3.3</t>
  </si>
  <si>
    <t>SA_PRV_3_3</t>
  </si>
  <si>
    <t>SA-PRV-3.4</t>
  </si>
  <si>
    <t>Présence d'affiches sur les règles d'hygiène du chantier</t>
  </si>
  <si>
    <t>SA_PRV_3_4</t>
  </si>
  <si>
    <t>Protection</t>
  </si>
  <si>
    <t>SA-PRT-1</t>
  </si>
  <si>
    <t>Port des protections contre les expositions</t>
  </si>
  <si>
    <t>SA-PRT-1.1</t>
  </si>
  <si>
    <t>Niveau de port des protections respiratoires aux tâches empoussiérantes</t>
  </si>
  <si>
    <t>SA_PRT_1_1</t>
  </si>
  <si>
    <t>SA-PRT-1.2</t>
  </si>
  <si>
    <t>Niveau de port des protecteurs d’ouïe à proximité des machines à moteur</t>
  </si>
  <si>
    <t>SA_PRT_1_2</t>
  </si>
  <si>
    <t>SA-PRT-1.3</t>
  </si>
  <si>
    <t>Niveau de port des protections contre les produits aux tâches de manipulation</t>
  </si>
  <si>
    <t>SA_PRT_1_3</t>
  </si>
  <si>
    <t>SA-PRT-1.4</t>
  </si>
  <si>
    <t>Absence de protection individuelle visiblement inadaptée à l’exposition</t>
  </si>
  <si>
    <t>SA_PRT_1_4</t>
  </si>
  <si>
    <t>SA-PRT-2</t>
  </si>
  <si>
    <t>Aménagement des conditions de repos et de récupération</t>
  </si>
  <si>
    <t>SA-PRT-2.1</t>
  </si>
  <si>
    <t>Présence d’un abri ombragé accessible aux travailleurs sur l’emprise</t>
  </si>
  <si>
    <t>SA_PRT_2_1</t>
  </si>
  <si>
    <t>SA-PRT-2.2</t>
  </si>
  <si>
    <t>Présence de sièges ou de bancs permettant de s’asseoir</t>
  </si>
  <si>
    <t>SA_PRT_2_2</t>
  </si>
  <si>
    <t>SA-PRT-2.3</t>
  </si>
  <si>
    <t>Présence d’une aire de repos tenue propre</t>
  </si>
  <si>
    <t>SA_PRT_2_3</t>
  </si>
  <si>
    <t>SA-PRT-2.4</t>
  </si>
  <si>
    <t>Absence de prise de repos à même le sol ou sous un engin</t>
  </si>
  <si>
    <t>SA_PRT_2_4</t>
  </si>
  <si>
    <t>Conformité</t>
  </si>
  <si>
    <t>SA-CNF-1</t>
  </si>
  <si>
    <t>Suivi médical des travailleurs</t>
  </si>
  <si>
    <t>SA-CNF-1.1</t>
  </si>
  <si>
    <t>Présence d'une convention ou d'une adhésion à un service de santé au travail</t>
  </si>
  <si>
    <t>SA_CNF_1_1</t>
  </si>
  <si>
    <t>SA-CNF-1.2</t>
  </si>
  <si>
    <t>SA_CNF_1_2</t>
  </si>
  <si>
    <t>SA-CNF-1.3</t>
  </si>
  <si>
    <t>Présence de fiches d'aptitude datées de moins de douze mois</t>
  </si>
  <si>
    <t>SA_CNF_1_3</t>
  </si>
  <si>
    <t>SA-CNF-1.4</t>
  </si>
  <si>
    <t>SA_CNF_1_4</t>
  </si>
  <si>
    <t>SA-CNF-2</t>
  </si>
  <si>
    <t>Conformité des installations sanitaires et de l'accès à l'eau</t>
  </si>
  <si>
    <t>SA-CNF-2.1</t>
  </si>
  <si>
    <t>Taux de couverture en cabinets pour les hommes</t>
  </si>
  <si>
    <t>SA_CNF_2_1</t>
  </si>
  <si>
    <t>SA-CNF-2.2</t>
  </si>
  <si>
    <t>Taux de couverture en cabinets pour les femmes</t>
  </si>
  <si>
    <t>SA_CNF_2_2</t>
  </si>
  <si>
    <t>SA-CNF-2.3</t>
  </si>
  <si>
    <t>Niveau d’équipement des installations sanitaires</t>
  </si>
  <si>
    <t>SA_CNF_2_3</t>
  </si>
  <si>
    <t>SA-CNF-2.4</t>
  </si>
  <si>
    <t>Présence d'eau potable mise à disposition par l'employeur</t>
  </si>
  <si>
    <t>SA_CNF_2_4</t>
  </si>
  <si>
    <t>SA-CNF-3</t>
  </si>
  <si>
    <t>Conformité du dispositif de soins du chantier</t>
  </si>
  <si>
    <t>SA-CNF-3.1</t>
  </si>
  <si>
    <t>Présence du local de soins exigé par l'effectif (infirmerie à partir de trente travailleurs, salle de soins en deçà)</t>
  </si>
  <si>
    <t>SA_CNF_3_1</t>
  </si>
  <si>
    <t>SA-CNF-3.2</t>
  </si>
  <si>
    <t>Présence d'une boîte de secours contenant des produits non périmés</t>
  </si>
  <si>
    <t>SA_CNF_3_2</t>
  </si>
  <si>
    <t>SA-CNF-3.3</t>
  </si>
  <si>
    <t>Présence d’une équipe de secouriste constituée</t>
  </si>
  <si>
    <t>SA_CNF_3_3</t>
  </si>
  <si>
    <t>SA-CNF-3.4</t>
  </si>
  <si>
    <t>Présence d’au moins un secouriste sur le terrain</t>
  </si>
  <si>
    <t>SA_CNF_3_4</t>
  </si>
  <si>
    <t>Sécurité</t>
  </si>
  <si>
    <t>SE-PRV-1</t>
  </si>
  <si>
    <t>Analyse des risques et organisation de la prévention</t>
  </si>
  <si>
    <t>SE-PRV-1.1</t>
  </si>
  <si>
    <t>Présence d'une analyse des risques écrite propre au chantier</t>
  </si>
  <si>
    <t>SE_PRV_1_1</t>
  </si>
  <si>
    <t>SE-PRV-1.2</t>
  </si>
  <si>
    <t>Présence de mesures de maîtrise associées à chaque risque identifié</t>
  </si>
  <si>
    <t>SE_PRV_1_2</t>
  </si>
  <si>
    <t>SE-PRV-1.3</t>
  </si>
  <si>
    <t>Présence d’un plan de consignation et de déconsignation des engins électriques</t>
  </si>
  <si>
    <t>SE_PRV_1_3</t>
  </si>
  <si>
    <t>SE-PRV-1.4</t>
  </si>
  <si>
    <t>Tenue d’un registre de formation de la sécurité</t>
  </si>
  <si>
    <t>SE_PRV_1_4</t>
  </si>
  <si>
    <t>SE-PRV-2</t>
  </si>
  <si>
    <t>Aménagement du chantier et protection collective</t>
  </si>
  <si>
    <t>SE-PRV-2.1</t>
  </si>
  <si>
    <t>Présence d'un balisage des fouilles et des trémies</t>
  </si>
  <si>
    <t>SE_PRV_2_1</t>
  </si>
  <si>
    <t>SE-PRV-2.2</t>
  </si>
  <si>
    <t>Présence de séparation des voies de circulation d’engins et de piétons</t>
  </si>
  <si>
    <t>SE_PRV_2_2</t>
  </si>
  <si>
    <t>SE-PRV-2.3</t>
  </si>
  <si>
    <t>Présence de garde-corps ou de couverture aux ouvertures et bords de dalle</t>
  </si>
  <si>
    <t>SE_PRV_2_3</t>
  </si>
  <si>
    <t>SE-PRV-2.4</t>
  </si>
  <si>
    <t>Présence d'échafaudages munis d'un plancher complet, d'un garde-corps et d'un accès fixe</t>
  </si>
  <si>
    <t>SE_PRV_2_4</t>
  </si>
  <si>
    <t>SE-PRV-3</t>
  </si>
  <si>
    <t>Sécurité des engins et des manœuvres</t>
  </si>
  <si>
    <t>SE-PRV-3.1</t>
  </si>
  <si>
    <t>Présence de l’habilitation des conducteurs d’engins</t>
  </si>
  <si>
    <t>SE_PRV_3_1</t>
  </si>
  <si>
    <t>SE-PRV-3.2</t>
  </si>
  <si>
    <t>Taux d’engins dotés d’un avertisseur de recul en état de fonctionnement</t>
  </si>
  <si>
    <t>SE_PRV_3_2</t>
  </si>
  <si>
    <t>SE-PRV-3.3</t>
  </si>
  <si>
    <t>Présence d’un balisage des zones de manœuvre</t>
  </si>
  <si>
    <t>SE_PRV_3_3</t>
  </si>
  <si>
    <t>SE-PRV-3.4</t>
  </si>
  <si>
    <t>Présence d’une personne guidant les manœuvres</t>
  </si>
  <si>
    <t>SE_PRV_3_4</t>
  </si>
  <si>
    <t>SE-PRT-1</t>
  </si>
  <si>
    <t>Port des équipements de protection individuelle</t>
  </si>
  <si>
    <t>SE-PRT-1.1</t>
  </si>
  <si>
    <t>Niveau de port de l’équipement de protection individuelle</t>
  </si>
  <si>
    <t>SE_PRT_1_1</t>
  </si>
  <si>
    <t>SE-PRT-1.2</t>
  </si>
  <si>
    <t>Présence du port des équipements de protection par les visiteurs</t>
  </si>
  <si>
    <t>SE_PRT_1_2</t>
  </si>
  <si>
    <t>SE-PRT-1.3</t>
  </si>
  <si>
    <t>Présence du port des équipements de protection par l'encadrement</t>
  </si>
  <si>
    <t>SE_PRT_1_3</t>
  </si>
  <si>
    <t>SE-PRT-1.4</t>
  </si>
  <si>
    <t>Absence de travailleur en tenue manifestement inadaptée au poste</t>
  </si>
  <si>
    <t>SE_PRT_1_4</t>
  </si>
  <si>
    <t>SE-PRT-2</t>
  </si>
  <si>
    <t>Moyens de lutte contre l'incendie</t>
  </si>
  <si>
    <t>SE-PRT-2.1</t>
  </si>
  <si>
    <t>Présence d'extincteurs adaptés aux risques du chantier</t>
  </si>
  <si>
    <t>SE_PRT_2_1</t>
  </si>
  <si>
    <t>SE-PRT-2.2</t>
  </si>
  <si>
    <t>Présence d'extincteurs répartis aux points sensibles</t>
  </si>
  <si>
    <t>SE_PRT_2_2</t>
  </si>
  <si>
    <t>SE-PRT-2.3</t>
  </si>
  <si>
    <t>Présence d'un moyen d'alerte permettant de donner l'alarme sur le chantier</t>
  </si>
  <si>
    <t>SE_PRT_2_3</t>
  </si>
  <si>
    <t>SE-PRT-2.4</t>
  </si>
  <si>
    <t>Présence d'un point de rassemblement identifié et signalé</t>
  </si>
  <si>
    <t>SE_PRT_2_4</t>
  </si>
  <si>
    <t>SE-PRT-3</t>
  </si>
  <si>
    <t>Dispositifs de coupure et de mise à la terre de l'installation électrique</t>
  </si>
  <si>
    <t>SE-PRT-3.1</t>
  </si>
  <si>
    <t>Présence d'un coffret de chantier muni d'un dispositif différentiel</t>
  </si>
  <si>
    <t>SE_PRT_3_1</t>
  </si>
  <si>
    <t>SE-PRT-3.2</t>
  </si>
  <si>
    <t>Présence d'un piquet de terre relié aux équipements électriques</t>
  </si>
  <si>
    <t>SE_PRT_3_2</t>
  </si>
  <si>
    <t>SE-PRT-3.3</t>
  </si>
  <si>
    <t>Présence de coffrets et boîtiers de raccordement fermés</t>
  </si>
  <si>
    <t>SE_PRT_3_3</t>
  </si>
  <si>
    <t>SE-PRT-3.4</t>
  </si>
  <si>
    <t>Présence d'un dispositif de coupure générale accessible et signalé</t>
  </si>
  <si>
    <t>SE_PRT_3_4</t>
  </si>
  <si>
    <t>SE-CNF-1</t>
  </si>
  <si>
    <t>Conformité de l'installation électrique de chantier</t>
  </si>
  <si>
    <t>SE-CNF-1.1</t>
  </si>
  <si>
    <t>Présence d'une attestation de conformité visée par l'organisme public de contrôle</t>
  </si>
  <si>
    <t>SE_CNF_1_1</t>
  </si>
  <si>
    <t>SE-CNF-1.2</t>
  </si>
  <si>
    <t>Présence d'un rapport de contrôle périodique daté et non périmé</t>
  </si>
  <si>
    <t>SE_CNF_1_2</t>
  </si>
  <si>
    <t>SE-CNF-1.3</t>
  </si>
  <si>
    <t>Présence d'une trace de levée des recommandations formulées au rapport</t>
  </si>
  <si>
    <t>SE_CNF_1_3</t>
  </si>
  <si>
    <t>SE-CNF-1.4</t>
  </si>
  <si>
    <t>Présence d'un registre des vérifications électriques tenu sur le chantier</t>
  </si>
  <si>
    <t>SE_CNF_1_4</t>
  </si>
  <si>
    <t>SE-CNF-2</t>
  </si>
  <si>
    <t>Déclaration des accidents du travail</t>
  </si>
  <si>
    <t>SE-CNF-2.1</t>
  </si>
  <si>
    <t>Tenue d'un registre des accidents du travail sur le chantier</t>
  </si>
  <si>
    <t>SE_CNF_2_1</t>
  </si>
  <si>
    <t>SE-CNF-2.2</t>
  </si>
  <si>
    <t>Présence des déclarations transmises à l'inspection du travail et à la CNSS</t>
  </si>
  <si>
    <t>SE_CNF_2_2</t>
  </si>
  <si>
    <t>SE-CNF-2.3</t>
  </si>
  <si>
    <t>Présence d'un affichage de la conduite à tenir en cas d'accident</t>
  </si>
  <si>
    <t>SE_CNF_2_3</t>
  </si>
  <si>
    <t>SE-CNF-2.4</t>
  </si>
  <si>
    <t>Présence d'un responsable désigné pour la déclaration des accidents</t>
  </si>
  <si>
    <t>SE_CNF_2_4</t>
  </si>
  <si>
    <t>SE-CNF-3</t>
  </si>
  <si>
    <t>Constitution et fonctionnement du comité d'hygiène et de sécurité</t>
  </si>
  <si>
    <t>SE-CNF-3.1</t>
  </si>
  <si>
    <t>Présence d'un comité d'hygiène et de sécurité constitué</t>
  </si>
  <si>
    <t>SE_CNF_3_1</t>
  </si>
  <si>
    <t>SE-CNF-3.2</t>
  </si>
  <si>
    <t>Présence de l'affichage de la composition du comité sur le chantier</t>
  </si>
  <si>
    <t>SE_CNF_3_2</t>
  </si>
  <si>
    <t>SE-CNF-3.3</t>
  </si>
  <si>
    <t>SE_CNF_3_3</t>
  </si>
  <si>
    <t>SE-CNF-3.4</t>
  </si>
  <si>
    <t>Présence des procès-verbaux portant une trace de transmission à l'inspection du travail</t>
  </si>
  <si>
    <t>SE_CNF_3_4</t>
  </si>
  <si>
    <t>Environnement</t>
  </si>
  <si>
    <t>EN-PRV-1</t>
  </si>
  <si>
    <t>Organisation préalable de la gestion des déchets solides</t>
  </si>
  <si>
    <t>EN-PRV-1.1</t>
  </si>
  <si>
    <t>Présence d'un plan de gestion des déchets propre au chantier</t>
  </si>
  <si>
    <t>EN_PRV_1_1</t>
  </si>
  <si>
    <t>EN-PRV-1.2</t>
  </si>
  <si>
    <t>Présence d'un contrat avec une structure agréée</t>
  </si>
  <si>
    <t>EN_PRV_1_2</t>
  </si>
  <si>
    <t>EN-PRV-1.3</t>
  </si>
  <si>
    <t>Présence de contenants répartis là où les déchets se produisent</t>
  </si>
  <si>
    <t>EN_PRV_1_3</t>
  </si>
  <si>
    <t>EN-PRV-1.4</t>
  </si>
  <si>
    <t>EN_PRV_1_4</t>
  </si>
  <si>
    <t>EN-PRV-2</t>
  </si>
  <si>
    <t>Prévention de la pollution des eaux et des sols</t>
  </si>
  <si>
    <t>EN-PRV-2.1</t>
  </si>
  <si>
    <t>Présence d'une aire de stockage des hydrocarbures délimitée et identifiée</t>
  </si>
  <si>
    <t>EN_PRV_2_1</t>
  </si>
  <si>
    <t>EN-PRV-2.2</t>
  </si>
  <si>
    <t>Présence de contenants d’hydrocarbures en bon état sur l’aire de stockage</t>
  </si>
  <si>
    <t>EN_PRV_2_2</t>
  </si>
  <si>
    <t>EN-PRV-2.3</t>
  </si>
  <si>
    <t>Présence de sanitaires raccordés à une fosse ou à un dispositif de collecte étanche, situé à plus de quinze mètres de tout point d'eau</t>
  </si>
  <si>
    <t>EN_PRV_2_3</t>
  </si>
  <si>
    <t>EN-PRV-2.4</t>
  </si>
  <si>
    <t>Présence d'une organisation de vidange définie</t>
  </si>
  <si>
    <t>EN_PRV_2_4</t>
  </si>
  <si>
    <t>EN-PRV-3</t>
  </si>
  <si>
    <t>Maîtrise des émissions atmosphériques et des combustions sur le chantier</t>
  </si>
  <si>
    <t>EN-PRV-3.1</t>
  </si>
  <si>
    <t>Absence de fumée noire à l'échappement des engins et véhicules en fonctionnement</t>
  </si>
  <si>
    <t>EN_PRV_3_1</t>
  </si>
  <si>
    <t>EN-PRV-3.2</t>
  </si>
  <si>
    <t>Absence de fuite visible sous les engins et véhicules</t>
  </si>
  <si>
    <t>EN_PRV_3_2</t>
  </si>
  <si>
    <t>EN-PRV-3.3</t>
  </si>
  <si>
    <t>Absence de brulage de déchets sur l’emprise</t>
  </si>
  <si>
    <t>EN_PRV_3_3</t>
  </si>
  <si>
    <t>EN-PRV-3.4</t>
  </si>
  <si>
    <t>Présence d'un bâchage des camions transportant du sable, du ciment, de la latérite ou du gravier fin</t>
  </si>
  <si>
    <t>EN_PRV_3_4</t>
  </si>
  <si>
    <t>EN-PRT-1</t>
  </si>
  <si>
    <t>Moyens d'intervention en cas de déversement</t>
  </si>
  <si>
    <t>EN-PRT-1.1</t>
  </si>
  <si>
    <t>Présence de matériel absorbant disponible sur l'aire de stockage</t>
  </si>
  <si>
    <t>EN_PRT_1_1</t>
  </si>
  <si>
    <t>EN-PRT-1.2</t>
  </si>
  <si>
    <t>Présence d'un sol étanche, d'une dalle ou d'une bâche sous la zone de stockage des liquides</t>
  </si>
  <si>
    <t>EN_PRT_1_2</t>
  </si>
  <si>
    <t>EN-PRT-1.3</t>
  </si>
  <si>
    <t>Absence de sol imprégné ou de trace de déversement non traitée sur l'emprise</t>
  </si>
  <si>
    <t>EN_PRT_1_3</t>
  </si>
  <si>
    <t>EN-PRT-1.4</t>
  </si>
  <si>
    <t>Présence d'un contenant destiné aux terres et matériaux souillés récupérés</t>
  </si>
  <si>
    <t>EN_PRT_1_4</t>
  </si>
  <si>
    <t>EN-PRT-2</t>
  </si>
  <si>
    <t>Maîtrise du rejet des eaux usées et des eaux de chantier</t>
  </si>
  <si>
    <t>EN-PRT-2.1</t>
  </si>
  <si>
    <t>Présence d’une fosse ou d’un dispositif de collecte étanche recevant les eaux des sanitaires</t>
  </si>
  <si>
    <t>EN_PRT_2_1</t>
  </si>
  <si>
    <t>EN-PRT-2.2</t>
  </si>
  <si>
    <t>Absence de rejet d’eaux usées dans les caniveaux d’évacuation des eaux pluviales</t>
  </si>
  <si>
    <t>EN_PRT_2_2</t>
  </si>
  <si>
    <t>EN-PRT-2.3</t>
  </si>
  <si>
    <t>Absence de rejet d’effluents dans un puits ou un puisard</t>
  </si>
  <si>
    <t>EN_PRT_2_3</t>
  </si>
  <si>
    <t>EN-PRT-2.4</t>
  </si>
  <si>
    <t>Absence de rejet d’eaux de lavage à même le sol</t>
  </si>
  <si>
    <t>EN_PRT_2_4</t>
  </si>
  <si>
    <t>EN-CNF-1</t>
  </si>
  <si>
    <t>Régularité du certificat de conformité environnementale et sociale</t>
  </si>
  <si>
    <t>EN-CNF-1.1</t>
  </si>
  <si>
    <t>Présence du certificat de conformité environnementale et sociale délivré pour le projet et en cours de validité</t>
  </si>
  <si>
    <t>EN_CNF_1_1</t>
  </si>
  <si>
    <t>EN-CNF-1.2</t>
  </si>
  <si>
    <t>Niveau de mise en œuvre des recommandations issues du certificat de conformité</t>
  </si>
  <si>
    <t>EN_CNF_1_2</t>
  </si>
  <si>
    <t>EN-CNF-1.3</t>
  </si>
  <si>
    <t>Présence des prescriptions assorties au certificat, disponibles sur le chantier</t>
  </si>
  <si>
    <t>EN_CNF_1_3</t>
  </si>
  <si>
    <t>EN-CNF-1.4</t>
  </si>
  <si>
    <t>Présence d'une trace de visite ou d’inspection environnementale exercée sur le chantier</t>
  </si>
  <si>
    <t>EN_CNF_1_4</t>
  </si>
  <si>
    <t>EN-CNF-2</t>
  </si>
  <si>
    <t>Conformité au plan de gestion environnementale et sociale</t>
  </si>
  <si>
    <t>EN-CNF-2.1</t>
  </si>
  <si>
    <t>Présence du plan de gestion environnementale et sociale décliné au chantier</t>
  </si>
  <si>
    <t>EN_CNF_2_1</t>
  </si>
  <si>
    <t>EN-CNF-2.2</t>
  </si>
  <si>
    <t>Présence d'un responsable environnement désigné pour sa mise en œuvre</t>
  </si>
  <si>
    <t>EN_CNF_2_2</t>
  </si>
  <si>
    <t>EN-CNF-2.3</t>
  </si>
  <si>
    <t>Présence des rapports périodiques de suivi environnemental portant une trace de transmission</t>
  </si>
  <si>
    <t>EN_CNF_2_3</t>
  </si>
  <si>
    <t>EN-CNF-2.4</t>
  </si>
  <si>
    <t>Présence d'une trace de suite donnée aux non-conformités relevées lors des missions de contrôle</t>
  </si>
  <si>
    <t>EN_CNF_2_4</t>
  </si>
  <si>
    <t>EN-CNF-3</t>
  </si>
  <si>
    <t>Conformité au traitement des arbres sur l’emprise</t>
  </si>
  <si>
    <t>EN-CNF-3.1</t>
  </si>
  <si>
    <t>Présence d’une trace de l’inventaire des arbres situés dans l’emprise du projet</t>
  </si>
  <si>
    <t>EN_CNF_3_1</t>
  </si>
  <si>
    <t>EN-CNF-3.2</t>
  </si>
  <si>
    <t>Présence de l’autorisation d’abattage délivrée par l’autorité compétente</t>
  </si>
  <si>
    <t>EN_CNF_3_2</t>
  </si>
  <si>
    <t>EN-CNF-3.3</t>
  </si>
  <si>
    <t>Présence du plan de compensation ou de reboisement associé</t>
  </si>
  <si>
    <t>EN_CNF_3_3</t>
  </si>
  <si>
    <t>EN-CNF-3.4</t>
  </si>
  <si>
    <t>Présence d’une trace d’exécution des plantations compensatoires</t>
  </si>
  <si>
    <t>EN_CNF_3_4</t>
  </si>
  <si>
    <t>Social</t>
  </si>
  <si>
    <t>SO-PRV-1</t>
  </si>
  <si>
    <t>Information des populations riveraines avant et pendant les travaux</t>
  </si>
  <si>
    <t>SO-PRV-1.1</t>
  </si>
  <si>
    <t>Présence d’un panneau de chantier portant l’identité du maître d’ouvrage, de l’entreprise et la durée des travaux</t>
  </si>
  <si>
    <t>SO_PRV_1_1</t>
  </si>
  <si>
    <t>SO-PRV-1.2</t>
  </si>
  <si>
    <t>Présence d’une trace de réunion ou de séance d’information des populations</t>
  </si>
  <si>
    <t>SO_PRV_1_2</t>
  </si>
  <si>
    <t>SO-PRV-1.3</t>
  </si>
  <si>
    <t>Présence d’un contact affiché, lisible depuis l’extérieur, pour joindre le chantier</t>
  </si>
  <si>
    <t>SO_PRV_1_3</t>
  </si>
  <si>
    <t>SO-PRV-1.4</t>
  </si>
  <si>
    <t>Présence d’un affichage de la durée des travaux</t>
  </si>
  <si>
    <t>SO_PRV_1_4</t>
  </si>
  <si>
    <t>SO-PRV-2</t>
  </si>
  <si>
    <t>Prévention des violences et du harcèlement</t>
  </si>
  <si>
    <t>SO-PRV-2.1</t>
  </si>
  <si>
    <t>Présence d’un code de conduite signé par les travailleurs</t>
  </si>
  <si>
    <t>SO_PRV_2_1</t>
  </si>
  <si>
    <t>SO-PRV-2.2</t>
  </si>
  <si>
    <t>Présence d’une sensibilisation aux violences et au harcèlement attestée par une trace</t>
  </si>
  <si>
    <t>SO_PRV_2_2</t>
  </si>
  <si>
    <t>SO-PRV-2.3</t>
  </si>
  <si>
    <t>Présence d’un affichage du dispositif de signalement</t>
  </si>
  <si>
    <t>SO_PRV_2_3</t>
  </si>
  <si>
    <t>SO-PRV-2.4</t>
  </si>
  <si>
    <t>Présence d’un point focal désigné et connu des travailleurs</t>
  </si>
  <si>
    <t>SO_PRV_2_4</t>
  </si>
  <si>
    <t>SO-PRT-1</t>
  </si>
  <si>
    <t>Protection des tiers circulant aux abords du chantier</t>
  </si>
  <si>
    <t>SO-PRT-1.1</t>
  </si>
  <si>
    <t>Présence d'une clôture ou palissade continue sur les côtés donnant sur la voie publique</t>
  </si>
  <si>
    <t>SO_PRT_1_1</t>
  </si>
  <si>
    <t>SO-PRT-1.2</t>
  </si>
  <si>
    <t>Présence d'un cheminement piéton séparé de l'emprise et de la circulation des engins</t>
  </si>
  <si>
    <t>SO_PRT_1_2</t>
  </si>
  <si>
    <t>SO-PRT-1.3</t>
  </si>
  <si>
    <t>Présence d'un ouvrage de franchissement là où l'emprise coupe un accès riverain</t>
  </si>
  <si>
    <t>SO_PRT_1_3</t>
  </si>
  <si>
    <t>SO-PRT-1.4</t>
  </si>
  <si>
    <t>Absence de matériaux ou de déblais empiétant sur la voie publique</t>
  </si>
  <si>
    <t>SO_PRT_1_4</t>
  </si>
  <si>
    <t>SO-PRT-2</t>
  </si>
  <si>
    <t>Traitement des plaintes de violence et de harcèlement</t>
  </si>
  <si>
    <t>SO-PRT-2.1</t>
  </si>
  <si>
    <t>Présence d’un interlocuteur désigné pour recevoir les plaintes, connu des travailleurs</t>
  </si>
  <si>
    <t>SO_PRT_2_1</t>
  </si>
  <si>
    <t>SO-PRT-2.2</t>
  </si>
  <si>
    <t>Présence d’un registre ou d’un canal de signalement</t>
  </si>
  <si>
    <t>SO_PRT_2_2</t>
  </si>
  <si>
    <t>SO-PRT-2.3</t>
  </si>
  <si>
    <t>Présence d’une trace de traitement des plaintes reçues</t>
  </si>
  <si>
    <t>SO_PRT_2_3</t>
  </si>
  <si>
    <t>SO-PRT-2.4</t>
  </si>
  <si>
    <t>Présence d’installations sanitaires séparées et fermant à clé pour les femmes</t>
  </si>
  <si>
    <t>SO_PRT_2_4</t>
  </si>
  <si>
    <t>SO-PRT-3</t>
  </si>
  <si>
    <t>Limitation des nuisances émises vers les riverains</t>
  </si>
  <si>
    <t>SO-PRT-3.1</t>
  </si>
  <si>
    <t>Absence de dépôt de déchets ou de matériaux sur la voie publique</t>
  </si>
  <si>
    <t>SO_PRT_3_1</t>
  </si>
  <si>
    <t>SO-PRT-3.2</t>
  </si>
  <si>
    <t>Absence d'obstruction des caniveaux et canaux d'écoulement</t>
  </si>
  <si>
    <t>SO_PRT_3_2</t>
  </si>
  <si>
    <t>SO-PRT-3.3</t>
  </si>
  <si>
    <t>Absence d’écoulement d’eau vers les propriétés riveraines</t>
  </si>
  <si>
    <t>SO_PRT_3_3</t>
  </si>
  <si>
    <t>SO-PRT-3.4</t>
  </si>
  <si>
    <t>Présence d'un bâchage des camions de matériaux fins à la sortie du chantier</t>
  </si>
  <si>
    <t>SO_PRT_3_4</t>
  </si>
  <si>
    <t>SO-CNF-1</t>
  </si>
  <si>
    <t>Déclaration à la sécurité sociale et régularité du tâcheronnat</t>
  </si>
  <si>
    <t>SO-CNF-1.1</t>
  </si>
  <si>
    <t>SO_CNF_1_1</t>
  </si>
  <si>
    <t>SO-CNF-1.2</t>
  </si>
  <si>
    <t>SO_CNF_1_2</t>
  </si>
  <si>
    <t>SO-CNF-1.3</t>
  </si>
  <si>
    <t>Présence de la liste des tâcherons intervenant sur le chantier</t>
  </si>
  <si>
    <t>SO_CNF_1_3</t>
  </si>
  <si>
    <t>SO-CNF-1.4</t>
  </si>
  <si>
    <t>Présence d'un contrat écrit pour au moins un tâcheron</t>
  </si>
  <si>
    <t>SO_CNF_1_4</t>
  </si>
  <si>
    <t>SO-CNF-2</t>
  </si>
  <si>
    <t>Régularité au regard de l’âge minimum</t>
  </si>
  <si>
    <t>SO-CNF-2.1</t>
  </si>
  <si>
    <t>Absence de travailleur de moins de quatorze ans sur le chantier</t>
  </si>
  <si>
    <t>SO_CNF_2_1</t>
  </si>
  <si>
    <t>SO-CNF-2.2</t>
  </si>
  <si>
    <t>Absence de travailleur de moins de dix-huit ans dans les zones où il peut toucher des conducteurs sous tension</t>
  </si>
  <si>
    <t>SO_CNF_2_2</t>
  </si>
  <si>
    <t>SO-CNF-2.3</t>
  </si>
  <si>
    <t>SO_CNF_2_3</t>
  </si>
  <si>
    <t>SO-CNF-3</t>
  </si>
  <si>
    <t>Conformité aux engagements sociaux du plan de gestion</t>
  </si>
  <si>
    <t>SO-CNF-3.1</t>
  </si>
  <si>
    <t>Présence du volet social du plan de gestion, décliné au chantier</t>
  </si>
  <si>
    <t>SO_CNF_3_1</t>
  </si>
  <si>
    <t>SO-CNF-3.2</t>
  </si>
  <si>
    <t>Présence d’un responsable social ou d’un point focal désigné pour sa mise en œuvre</t>
  </si>
  <si>
    <t>SO_CNF_3_2</t>
  </si>
  <si>
    <t>SO-CNF-3.3</t>
  </si>
  <si>
    <t>Présence des rapports de suivi social transmis au maître d’ouvrage</t>
  </si>
  <si>
    <t>SO_CNF_3_3</t>
  </si>
  <si>
    <t>SO-CNF-3.4</t>
  </si>
  <si>
    <t>Présence d’une trace de suite donnée aux écarts sociaux relevés lors des missions de contrôle</t>
  </si>
  <si>
    <t>SO_CNF_3_4</t>
  </si>
  <si>
    <t>Binaire</t>
  </si>
  <si>
    <t>Taux</t>
  </si>
  <si>
    <t>Maturité</t>
  </si>
  <si>
    <t>INDICATEUR</t>
  </si>
  <si>
    <t>NA AUTORISE</t>
  </si>
  <si>
    <t>NON</t>
  </si>
  <si>
    <t>OUI</t>
  </si>
  <si>
    <t>FACTEUR</t>
  </si>
  <si>
    <t>Code du chantier</t>
  </si>
  <si>
    <t>Date de la visite</t>
  </si>
  <si>
    <t>Type d'ouvrage</t>
  </si>
  <si>
    <t>Phase d'avancement</t>
  </si>
  <si>
    <t>dont hommes</t>
  </si>
  <si>
    <t>dont femmes</t>
  </si>
  <si>
    <t>Observateur</t>
  </si>
  <si>
    <t>Météo des 24 dernières heures</t>
  </si>
  <si>
    <t>Heure de début</t>
  </si>
  <si>
    <t xml:space="preserve">Heure de fin </t>
  </si>
  <si>
    <t xml:space="preserve">Durée </t>
  </si>
  <si>
    <t>CODE</t>
  </si>
  <si>
    <t>SOUS-INDICATEUR</t>
  </si>
  <si>
    <t>VALEUR IMPORTEE</t>
  </si>
  <si>
    <t>DENOMINATEUR IMPORTE</t>
  </si>
  <si>
    <t>VALEUR CORRIGEE</t>
  </si>
  <si>
    <t>DENOMINATEUR CORRIGE</t>
  </si>
  <si>
    <t>VALEUR RETENUE</t>
  </si>
  <si>
    <t>DENOMINATEUR RETENU</t>
  </si>
  <si>
    <t>CONTROLE</t>
  </si>
  <si>
    <t>OBSERVATION</t>
  </si>
  <si>
    <t>Ligne de la visite dans IMPORT</t>
  </si>
  <si>
    <t>Taux de travailleurs  ayant reçu une induction sur les risques sanitaires</t>
  </si>
  <si>
    <t>Taux de travailleurs ayant reçu une consigne sur le tri des déchets</t>
  </si>
  <si>
    <t>Présence de l'immatriculation à la CNSS de chaque entreprise intervenant sur le chantier</t>
  </si>
  <si>
    <t>Présence de l'attestation de régularité CNSS en cours de validité pour chaque entreprise intervenant sur le chantier</t>
  </si>
  <si>
    <t xml:space="preserve"> </t>
  </si>
  <si>
    <t>code_chantier</t>
  </si>
  <si>
    <t>date_visite</t>
  </si>
  <si>
    <t>effectif_total</t>
  </si>
  <si>
    <t xml:space="preserve">Taux de travailleurs dont la fiche d'aptitude est disponible sur le chantier </t>
  </si>
  <si>
    <t>Taux de travailleurs dont la visite médicale d'embauchage est attestée</t>
  </si>
  <si>
    <t>Taux de trimestres comportant au moins une réunion du comité sur les douze derniers mois</t>
  </si>
  <si>
    <t xml:space="preserve">Taux de travailleurs dont la date de naissance est renseignée au registre du personnel </t>
  </si>
  <si>
    <t>Effectif ouvrier présent</t>
  </si>
  <si>
    <t>SA_PRV_3_3_num</t>
  </si>
  <si>
    <t>SA_PRV_3_3_den</t>
  </si>
  <si>
    <t>NA</t>
  </si>
  <si>
    <t>Cotés</t>
  </si>
  <si>
    <t>Non applicables</t>
  </si>
  <si>
    <t>Manquants</t>
  </si>
  <si>
    <t>Anomalies</t>
  </si>
  <si>
    <t>Total</t>
  </si>
  <si>
    <t xml:space="preserve">Calcul- Normalisation et Agrégation </t>
  </si>
  <si>
    <t>Code</t>
  </si>
  <si>
    <t>Dimension</t>
  </si>
  <si>
    <t>Parametre</t>
  </si>
  <si>
    <t>Code Indicateur</t>
  </si>
  <si>
    <t>Type</t>
  </si>
  <si>
    <t>Facteur</t>
  </si>
  <si>
    <t>Score normalisé</t>
  </si>
  <si>
    <t>Alerte</t>
  </si>
  <si>
    <t>Non coté</t>
  </si>
  <si>
    <t>Score Indicateur</t>
  </si>
  <si>
    <t>Retiré</t>
  </si>
  <si>
    <t>Score Parametre</t>
  </si>
  <si>
    <t>Indicateurs</t>
  </si>
  <si>
    <t>Indice</t>
  </si>
  <si>
    <t>Niveau</t>
  </si>
  <si>
    <t>Non cotés</t>
  </si>
  <si>
    <t>Alertes</t>
  </si>
  <si>
    <t>Indicateurs retirés</t>
  </si>
  <si>
    <t>TOTAL</t>
  </si>
  <si>
    <t>CONTRÔLE</t>
  </si>
  <si>
    <t>Seuil des sous indicateurs faibles</t>
  </si>
  <si>
    <t>Rang Alerte</t>
  </si>
  <si>
    <t>Rang Faible</t>
  </si>
  <si>
    <t>IDENTIFICATION</t>
  </si>
  <si>
    <t>Chantier</t>
  </si>
  <si>
    <t>Tyype d'ouvrage</t>
  </si>
  <si>
    <t>Effectif d'ouvriers présent</t>
  </si>
  <si>
    <t>Duréé de la visite</t>
  </si>
  <si>
    <t>Météo des 24h</t>
  </si>
  <si>
    <t>VALIDITE DE LA VISITE</t>
  </si>
  <si>
    <t>Sous indicateurs cotés</t>
  </si>
  <si>
    <t>Non Applicables</t>
  </si>
  <si>
    <t>Statut</t>
  </si>
  <si>
    <t>ALERTES</t>
  </si>
  <si>
    <t>Nombre total d'alertes</t>
  </si>
  <si>
    <t>Une alerte signale un sous-indicateur coté au niveau le plus bas. Elle ne modifie pas le score. Liste détailléé en fin de rapport</t>
  </si>
  <si>
    <t>LES QUATRE INDICES</t>
  </si>
  <si>
    <t>Aucun indice global n'est calculé : les quatre dimensions ne se compensent pas. Un indice se lit toujours avec sa décomposition par parametre et ses alertes.</t>
  </si>
  <si>
    <t>DECOMPOSITION PAR PARAMETRE</t>
  </si>
  <si>
    <t>LISTE DETAILLEE DES ALERTES</t>
  </si>
  <si>
    <t>Sous-indicateur</t>
  </si>
  <si>
    <t>Nombre</t>
  </si>
  <si>
    <t>Seuil appliqué</t>
  </si>
  <si>
    <t>LES SOUS-INDICATEURS LES PLUS FAIBLES</t>
  </si>
  <si>
    <t>Score</t>
  </si>
  <si>
    <t>SUIVI - HISTORIQUE DES VISITES</t>
  </si>
  <si>
    <t>LIGNE DE LA VISITE EN COURS - à copier, puis à coller en valeurs dans l'historique</t>
  </si>
  <si>
    <t>Date</t>
  </si>
  <si>
    <t>Phase</t>
  </si>
  <si>
    <t xml:space="preserve">Non cotés </t>
  </si>
  <si>
    <t>HISTORIQUE DES VISITES</t>
  </si>
  <si>
    <t>1. À QUOI SERT CET OUTIL</t>
  </si>
  <si>
    <t>2. MODE D'EMPLOI, ÉTAPE PAR ÉTAPE</t>
  </si>
  <si>
    <t>Étape</t>
  </si>
  <si>
    <t>Action</t>
  </si>
  <si>
    <t>Comment</t>
  </si>
  <si>
    <t>1</t>
  </si>
  <si>
    <t>Exporter les données de KoboToolbox</t>
  </si>
  <si>
    <t>2</t>
  </si>
  <si>
    <t>Coller l'export dans la feuille IMPORT</t>
  </si>
  <si>
    <t>3</t>
  </si>
  <si>
    <t>Choisir la visite dans la feuille SAISIE</t>
  </si>
  <si>
    <t>4</t>
  </si>
  <si>
    <t>Vérifier la colonne Contrôle</t>
  </si>
  <si>
    <t>5</t>
  </si>
  <si>
    <t>Lire la feuille RAPPORT</t>
  </si>
  <si>
    <t>6</t>
  </si>
  <si>
    <t>Archiver la visite dans la feuille SUIVI</t>
  </si>
  <si>
    <t>3. CODE COULEUR DES CELLULES</t>
  </si>
  <si>
    <t>Orange</t>
  </si>
  <si>
    <t>cellule à remplir par l'utilisateur</t>
  </si>
  <si>
    <t>Gris</t>
  </si>
  <si>
    <t>cellule automatique, à ne pas modifier</t>
  </si>
  <si>
    <t>Rouge</t>
  </si>
  <si>
    <t>anomalie à corriger</t>
  </si>
  <si>
    <t>4. ÉCHELLE DE LECTURE DES INDICES</t>
  </si>
  <si>
    <t>Signification</t>
  </si>
  <si>
    <t>Orientation</t>
  </si>
  <si>
    <t>0 à moins de 20</t>
  </si>
  <si>
    <t>Initial</t>
  </si>
  <si>
    <t>Les exigences ne sont pas satisfaites. Ce qui existe relève du hasard, non d'une organisation.</t>
  </si>
  <si>
    <t>Mettre en place immédiatement le socle réglementaire</t>
  </si>
  <si>
    <t>20 à moins de 40</t>
  </si>
  <si>
    <t>Basique</t>
  </si>
  <si>
    <t>Quelques dispositions isolées, sans lien entre elles.</t>
  </si>
  <si>
    <t>Combler les manques les plus exposants</t>
  </si>
  <si>
    <t>40 à moins de 60</t>
  </si>
  <si>
    <t>Défini</t>
  </si>
  <si>
    <t>La plupart des exigences font l'objet d'une disposition, mais l'application est inégale.</t>
  </si>
  <si>
    <t>Généraliser à l'ensemble du chantier</t>
  </si>
  <si>
    <t>60 à moins de 80</t>
  </si>
  <si>
    <t>Maîtrisé</t>
  </si>
  <si>
    <t>Les exigences sont satisfaites et appliquées de façon régulière.</t>
  </si>
  <si>
    <t>Établir la traçabilité</t>
  </si>
  <si>
    <t>80 à 100</t>
  </si>
  <si>
    <t>Optimisé</t>
  </si>
  <si>
    <t>Les exigences sont satisfaites, appliquées et tracées.</t>
  </si>
  <si>
    <t>Maintenir et contrôler périodiquement</t>
  </si>
  <si>
    <t>5. RÈGLES GÉNÉRALES DE COTATION</t>
  </si>
  <si>
    <t>Libellés « Absence de… »</t>
  </si>
  <si>
    <t>Preuve écrite</t>
  </si>
  <si>
    <t>Non applicable (NA)</t>
  </si>
  <si>
    <t>Emprise observée</t>
  </si>
  <si>
    <t>Projets linéaires</t>
  </si>
  <si>
    <t>Entreprises</t>
  </si>
  <si>
    <t>Cabinet d'aisances</t>
  </si>
  <si>
    <t>6. RÈGLES DE COTATION DES 131 SOUS-INDICATEURS</t>
  </si>
  <si>
    <t>Règle de cotation</t>
  </si>
  <si>
    <t>NA si</t>
  </si>
  <si>
    <t>Camion-citerne, tonne à eau, cuve avec pompe ou tuyau raccordé. Doit être présent, en état de marche et affecté au chantier, non emprunté.</t>
  </si>
  <si>
    <t>NA interdit</t>
  </si>
  <si>
    <t>Sable, ciment, chaux, gravier fin, latérite, plâtre. La couverture doit être complète sur la surface exposée et maintenue en place. Un stock partiellement couvert ou à découvert fait tomber à zéro.</t>
  </si>
  <si>
    <t>Aucun stock de matériau fin</t>
  </si>
  <si>
    <t>On attend le passage d'un véhicule ou d'un engin sur une piste et on regarde. Noter la météo des vingt-quatre heures : après une pluie, le point est acquis sans dispositif.</t>
  </si>
  <si>
    <t>Machine conçue pour la coupe à l'eau (scie à matériaux, tronçonneuse à disque diamant) : réservoir rempli ou tuyau raccordé, eau arrivant au disque pendant la coupe.</t>
  </si>
  <si>
    <t>Aucune découpe, ou découpe exclusivement à l'outil portatif non conçu pour l'eau</t>
  </si>
  <si>
    <t>Document présenté par l'encadrement (planning ou consigne écrite) fixant les tâches et la fréquence du nettoyage. Une organisation seulement verbale ne compte pas.</t>
  </si>
  <si>
    <t>Zones de pause, abords de la base-vie, postes occupés. Zéro dès qu'un dépôt est constaté.</t>
  </si>
  <si>
    <t>Rigole, caniveau, pente aménagée ou pompe. Le dispositif doit exister et être dégagé.</t>
  </si>
  <si>
    <t>Un seul fût ouvert en eau, pneu abandonné ou ornière en eau fait tomber à zéro.</t>
  </si>
  <si>
    <t>Le registre compte s'il porte au moins une séance avec date, thème et émargement.</t>
  </si>
  <si>
    <t>Désignation écrite, puis deux travailleurs interrogés au hasard doivent le nommer.</t>
  </si>
  <si>
    <t>Taux de travailleurs ayant reçu une induction sur les risques sanitaires</t>
  </si>
  <si>
    <t>Numérateur : signataires de la dernière fiche (quart d'heure ou induction) dont le thème porte sur les risques sanitaires, datée de moins de 30 jours avant la visite ; au-delà ou sans fiche, 0. Dénominateur : effectif total présent le jour de la visite, encadrement compris. Si le numérateur dépasse le dénominateur, saisir un numérateur égal au dénominateur.</t>
  </si>
  <si>
    <t>Au moins une affiche portant une règle d'hygiène, en place et lisible depuis une zone fréquentée.</t>
  </si>
  <si>
    <t>1 aucun travailleur ne porte de masque · 2 quelques-uns en portent sans lien avec leur tâche · 3 seuls les travailleurs des tâches les plus empoussiérantes en portent · 4 la plupart des travailleurs exposés en portent · 5 tous les travailleurs exposés observés en portent. Coter à la fin du parcours complet.</t>
  </si>
  <si>
    <t>Aucune tâche empoussiérante observée</t>
  </si>
  <si>
    <t>Mêmes échelons, appliqués aux travailleurs opérant ou stationnant près d'un groupe électrogène, d'un compresseur, d'un marteau-piqueur ou d'une plaque vibrante.</t>
  </si>
  <si>
    <t>Aucune machine à moteur bruyante en fonctionnement</t>
  </si>
  <si>
    <t>Mêmes échelons, appliqués aux travailleurs manipulant ciment, chaux, solvants, peintures ou hydrocarbures. Gants, tablier ou lunettes selon la tâche.</t>
  </si>
  <si>
    <t>Aucune manipulation de produits observée</t>
  </si>
  <si>
    <t>Masque chirurgical contre la poussière, gants en tissu contre le ciment, lunettes opaques. Zéro dès qu'une est constatée.</t>
  </si>
  <si>
    <t>Structure couverte (préau, bâche tendue, tôle, conteneur ouvert) donnant de l'ombre, accessible pendant les pauses. Un arbre isolé ne compte pas.</t>
  </si>
  <si>
    <t>Bancs, chaises ou sièges dans l'aire de repos. Parpaings, sacs ou planches posées au sol ne comptent pas.</t>
  </si>
  <si>
    <t>Sol balayé, sans gravats, outils entreposés ni déchets.</t>
  </si>
  <si>
    <t>Constat à la pause. Zéro dès qu'un travailleur est observé couché sous une benne ou à même le sol.</t>
  </si>
  <si>
    <t>On demande la pièce. Obligation de tout chef d'entreprise, sans condition d'effectif.</t>
  </si>
  <si>
    <t>Taux de travailleurs dont la fiche d'aptitude est disponible sur le chantier</t>
  </si>
  <si>
    <t>Numérateur : travailleurs dont la fiche d'aptitude est présentée sur le site, toutes entreprises confondues. Dénominateur : effectif inscrit aux registres ; à défaut de registre, effectif présent le jour de la visite. Fiches absentes du site ou conservées au siège : numérateur 0. Pas de NA.</t>
  </si>
  <si>
    <t>On lit les dates. Toutes doivent être en cours de validité.</t>
  </si>
  <si>
    <t>Aucune fiche n'est présente</t>
  </si>
  <si>
    <t>Numérateur : travailleurs dont la visite d'embauchage est attestée par une pièce datée présentée sur le site, toutes entreprises confondues. Dénominateur : effectif inscrit aux registres ; à défaut de registre, effectif présent le jour de la visite. Pièces absentes du site ou conservées au siège : numérateur 0. Pas de NA.</t>
  </si>
  <si>
    <t>Numérateur : nombre de cabinets d'aisances accessibles aux ouvriers, hors cabinets de l'encadrement. Dénominateur : nombre d'ouvriers hommes présents le jour de la visite. Facteur 25, résultat plafonné à 100 %.</t>
  </si>
  <si>
    <t>Numérateur : nombre de cabinets d'aisances accessibles aux ouvrières, hors cabinets de l'encadrement. Dénominateur : nombre d'ouvrières présentes le jour de la visite. Facteur 15, résultat plafonné à 100 %.</t>
  </si>
  <si>
    <t>Aucune ouvrière présente le jour de la visite</t>
  </si>
  <si>
    <t>Coter les sanitaires accessibles aux ouvriers, pas ceux de l'encadrement. 1 aucune installation sanitaire utilisable · 2 cabinets présents, non séparés par sexe · 3 cabinets séparés par sexe · 4 séparés et signalés (mention ou pictogramme) · 5 séparés, signalés, avec papier et point d'eau pour le lavage des mains.</t>
  </si>
  <si>
    <t>Compte 0 si les travailleurs apportent ou achètent leur eau.</t>
  </si>
  <si>
    <t>Infirmerie à partir de trente travailleurs, salle de soins en deçà. Temporaires et occasionnels compris dans l'effectif. Seuil de trente apprécié sur l'effectif présent ; en cas de doute, demander à l'encadrement et le noter en observation.</t>
  </si>
  <si>
    <t>On l'ouvre et on lit les dates.</t>
  </si>
  <si>
    <t>Liste nominative des secouristes, avec une attestation de formation au secourisme pour chacun. Si tout le personnel est formé : 1, à condition que la liste et les attestations existent. Une simple sensibilisation n'est pas une formation.</t>
  </si>
  <si>
    <t>Au moins une personne de la liste des secouristes présente sur l'emprise au moment de la visite et identifiée par l'encadrement.</t>
  </si>
  <si>
    <t>Le document compte s'il identifie les risques de ce chantier, non ceux du projet en général.</t>
  </si>
  <si>
    <t>Chaque risque doit porter en regard la mesure prévue. Une liste sans mesures ne compte pas.</t>
  </si>
  <si>
    <t>Procédure écrite : mise hors tension, condamnation, vérification d'absence de tension avant intervention, puis remise sous tension.</t>
  </si>
  <si>
    <t>Aucun engin ni équipement électrique sur le chantier</t>
  </si>
  <si>
    <t>Le registre compte s'il porte au moins une séance de formation à la sécurité avec date, thème et émargement.</t>
  </si>
  <si>
    <t>Rubalise, barrière ou cône. Toutes les fouilles et trémies ouvertes doivent être balisées : une seule non balisée fait tomber à zéro.</t>
  </si>
  <si>
    <t>Aucune fouille ni trémie ouverte</t>
  </si>
  <si>
    <t>Barrière, plot, cordage, muret ou marquage continu séparant engins et piétons. Un cheminement emprunté par habitude ne compte pas.</t>
  </si>
  <si>
    <t>Aucun engin ni véhicule ne circule sur l'emprise</t>
  </si>
  <si>
    <t>Toutes doivent être protégées.</t>
  </si>
  <si>
    <t>Le chantier ne comporte aucune ouverture ni bord de dalle</t>
  </si>
  <si>
    <t>Trois faits requis sur chaque échafaudage.</t>
  </si>
  <si>
    <t>Aucun échafaudage</t>
  </si>
  <si>
    <t>Autorisation de conduite ou attestation de formation au nom de chaque conducteur d'engin présent. Un seul conducteur sans pièce fait tomber à zéro.</t>
  </si>
  <si>
    <t>Aucun engin sur le chantier</t>
  </si>
  <si>
    <t>Numérateur : engins dont l'avertisseur de recul fonctionne (marche arrière observée ou essai demandé). Dénominateur : engins en activité sur l'emprise.</t>
  </si>
  <si>
    <t>Rubalise, cônes, barrières ou marquage délimitant l'aire d'évolution des engins et interdisant l'accès aux piétons.</t>
  </si>
  <si>
    <t>Toute marche arrière ou manœuvre à visibilité réduite observée est guidée par une personne désignée. Zéro dès qu'une manœuvre est observée sans guide.</t>
  </si>
  <si>
    <t>Aucune manœuvre observée pendant la visite</t>
  </si>
  <si>
    <t>EPI de base obligatoires : casque, chaussures de sécurité et gilet haute visibilité. Un travailleur n'est compté comme équipé que s'il porte les trois et qu'ils sont en bon état : casque non fendu, chaussures non déchirées, gilet non déchiré. Un EPI porté mais hors d'usage ne compte pas. 1 aucun travailleur équipé · 2 une minorité de travailleurs équipés · 3 environ la moitié · 4 la plupart · 5 tous les travailleurs observés. Coter à la fin du parcours.</t>
  </si>
  <si>
    <t>Tous les visiteurs observés. Un seul sans fait tomber à zéro.</t>
  </si>
  <si>
    <t>Aucun visiteur au moment de la visite</t>
  </si>
  <si>
    <t>Tous les encadrants observés.</t>
  </si>
  <si>
    <t>Torse nu, pieds nus, tongs, short au ferraillage ou à la manutention.</t>
  </si>
  <si>
    <t>Poudre ou dioxyde de carbone pour les hydrocarbures et l'électricité, eau ou mousse pour les solides.</t>
  </si>
  <si>
    <t>Stockage de carburants, groupe électrogène, atelier, base-vie, armoire électrique.</t>
  </si>
  <si>
    <t>Sirène, cloche, corne, sifflet.</t>
  </si>
  <si>
    <t>Matérialisé au sol ou par un panneau.</t>
  </si>
  <si>
    <t>On cherche sur le coffret un module portant un bouton test.</t>
  </si>
  <si>
    <t>Aucune installation électrique sur le chantier</t>
  </si>
  <si>
    <t>Le piquet doit être planté et relié par un conducteur.</t>
  </si>
  <si>
    <t>Un boîtier ouvert laisse les conducteurs accessibles.</t>
  </si>
  <si>
    <t>Organe de coupure, accès dégagé, repérage. Rattachement indirect à l'obligation générale de sécurité.</t>
  </si>
  <si>
    <t>Le visa conditionne la mise sous tension.</t>
  </si>
  <si>
    <t>On lit la date du dernier rapport et la périodicité prévue : le rapport doit couvrir la date de la visite.</t>
  </si>
  <si>
    <t>Pour chaque recommandation du dernier rapport, une trace datée de correction.</t>
  </si>
  <si>
    <t>Le rapport ne formule aucune recommandation</t>
  </si>
  <si>
    <t>Compte 0 s'il est au seul siège.</t>
  </si>
  <si>
    <t>Transmission simultanée aux deux destinataires, dans les quarante-huit heures.</t>
  </si>
  <si>
    <t>Aucun accident depuis l'ouverture du chantier</t>
  </si>
  <si>
    <t>Qui prévenir, quel numéro, où se rendre.</t>
  </si>
  <si>
    <t>Désignation écrite, et l'encadrement le nomme.</t>
  </si>
  <si>
    <t>On demande l'acte de constitution. Seuil de trente apprécié sur l'effectif présent ; en cas de doute, demander à l'encadrement et le noter en observation.</t>
  </si>
  <si>
    <t>L'effectif est inférieur à trente salariés</t>
  </si>
  <si>
    <t>Liste des membres affichée dans un lieu fréquenté du chantier. Seuil de trente apprécié sur l'effectif présent ; en cas de doute, demander à l'encadrement et le noter en observation.</t>
  </si>
  <si>
    <t>Effectif inférieur à trente salariés</t>
  </si>
  <si>
    <t>Numérateur : trimestres civils, parmi les douze mois précédant la visite, comportant au moins un procès-verbal de réunion du comité. Une causerie ou un quart d'heure sécurité ne compte pas. Dénominateur : trimestres pendant lesquels le chantier était actif, quatre au maximum. Le trimestre en cours compte s'il comporte déjà un PV. Seuil de trente apprécié sur l'effectif présent ; en cas de doute, demander à l'encadrement et le noter en observation.</t>
  </si>
  <si>
    <t>Procès-verbaux des réunions tenues, avec bordereau ou accusé de transmission à l'inspection du travail. Seuil de trente apprécié sur l'effectif présent ; en cas de doute, demander à l'encadrement et le noter en observation.</t>
  </si>
  <si>
    <t>Un plan général de l'entreprise ne compte pas.</t>
  </si>
  <si>
    <t>Contrat de collecte ou d'élimination avec un prestataire, accompagné de l'agrément ou de l'autorisation de ce prestataire. Le contrat seul ne suffit pas.</t>
  </si>
  <si>
    <t>S'il faut traverser le chantier pour en trouver un, il ne compte pas.</t>
  </si>
  <si>
    <t>Numérateur : signataires de la dernière fiche (quart d'heure ou induction) dont le thème porte sur les déchets, datée de moins de 30 jours avant la visite ; au-delà ou sans fiche, 0. Dénominateur : effectif total présent le jour de la visite, encadrement compris. Si le numérateur dépasse le dénominateur, saisir un numérateur égal au dénominateur.</t>
  </si>
  <si>
    <t>Clôture, muret ou marquage, plus un panneau. Les deux conditions.</t>
  </si>
  <si>
    <t>Aucun hydrocarbure stocké sur le chantier</t>
  </si>
  <si>
    <t>Fûts et cuves fermés, sans perforation ni fuite. Un seul contenant ouvert, percé ou fuyant fait tomber à zéro.</t>
  </si>
  <si>
    <t>Deux faits requis : le raccordement et la distance.</t>
  </si>
  <si>
    <t>Prestataire identifié ou fréquence fixée par écrit.</t>
  </si>
  <si>
    <t>On regarde au démarrage et à la montée en charge. Zéro dès qu'un seul en émet.</t>
  </si>
  <si>
    <t>Aucun engin ni véhicule affecté au chantier</t>
  </si>
  <si>
    <t>Tache d'huile fraîche ou sol imprégné sous un engin ou un véhicule à l'arrêt. Zéro dès qu'une fuite est constatée.</t>
  </si>
  <si>
    <t>Foyer, cendres ou restes calcinés de déchets (plastiques, bois, emballages) sur l'emprise. Zéro dès qu'une trace récente est constatée.</t>
  </si>
  <si>
    <t>Tous les camions observés à la sortie.</t>
  </si>
  <si>
    <t>Aucun transport de matériau pulvérulent observé</t>
  </si>
  <si>
    <t>Sable, sciure ou kit anti-pollution.</t>
  </si>
  <si>
    <t>Le chantier ne détient ni hydrocarbures ni produits liquides</t>
  </si>
  <si>
    <t>Un sol nu ou simplement compacté ne compte pas.</t>
  </si>
  <si>
    <t>Tache d'huile, terre noircie, écoulement.</t>
  </si>
  <si>
    <t>Fût, bac ou sac identifié, réservé aux terres et absorbants souillés.</t>
  </si>
  <si>
    <t>Fosse étanche, cabine autonome ou cuve recevant les eaux des sanitaires. On vérifie le raccordement.</t>
  </si>
  <si>
    <t>Aucun sanitaire sur le chantier (déjà sanctionné en santé)</t>
  </si>
  <si>
    <t>Interdiction expresse. On suit tuyaux et rigoles issus des sanitaires, de la base-vie et des aires de lavage jusqu'à leur débouché.</t>
  </si>
  <si>
    <t>Interdiction expresse, même pour des effluents traités. On recherche tout puits perdu, cavité ou puisard recevant des effluents.</t>
  </si>
  <si>
    <t>Eaux de lavage des engins, bétonnières, outils ou laitance de béton. On regarde où l'eau débouche. Zéro dès qu'un rejet au sol est constaté.</t>
  </si>
  <si>
    <t>Aucune opération de lavage sur le chantier</t>
  </si>
  <si>
    <t>On lit l'objet et la date d'expiration : le certificat doit se rapporter au projet et être valide le jour de la visite.</t>
  </si>
  <si>
    <t>On part de la liste des prescriptions du certificat et on vérifie chacune. 1 aucune mise en œuvre ou suivi impossible · 2 quelques-unes, sans suivi · 3 environ la moitié · 4 la plupart · 5 toutes, mises en œuvre et tracées.</t>
  </si>
  <si>
    <t>Aucun certificat</t>
  </si>
  <si>
    <t>Liste des prescriptions disponible sur le chantier, non au seul siège.</t>
  </si>
  <si>
    <t>Rapport de mission, fiche de visite, procès-verbal daté et se rapportant à ce chantier.</t>
  </si>
  <si>
    <t>Un document du projet non décliné au chantier ne compte pas.</t>
  </si>
  <si>
    <t>Rapports datés, conformes à la périodicité prévue au PGES, avec trace de transmission (bordereau, accusé, courriel).</t>
  </si>
  <si>
    <t>Pour chaque non-conformité relevée, une action datée.</t>
  </si>
  <si>
    <t>Aucune non-conformité relevée</t>
  </si>
  <si>
    <t>Document daté listant les arbres de l'emprise (nombre, espèce ou localisation), se rapportant au projet.</t>
  </si>
  <si>
    <t>L'emprise ne comporte et n'a comporté aucun arbre</t>
  </si>
  <si>
    <t>Autorisation écrite de l'autorité compétente couvrant les arbres abattus.</t>
  </si>
  <si>
    <t>Aucun arbre abattu</t>
  </si>
  <si>
    <t>Plan ou engagement écrit de compensation (nombre de plants, lieu, délai).</t>
  </si>
  <si>
    <t>Trace datée de plantation : procès-verbal, photographies datées ou attestation.</t>
  </si>
  <si>
    <t>Aucun arbre abattu, ou délai de plantation non échu</t>
  </si>
  <si>
    <t>Les trois mentions requises.</t>
  </si>
  <si>
    <t>Procès-verbal, liste de présence ou compte rendu daté.</t>
  </si>
  <si>
    <t>Nom, numéro ou adresse, visible sans entrer sur l'emprise.</t>
  </si>
  <si>
    <t>Durée ou dates de début et de fin affichées, lisibles depuis la voie publique. Recoupe SO-PRV-1.1.</t>
  </si>
  <si>
    <t>Le document doit porter des signatures. Un code affiché sans engagement individuel ne compte pas.</t>
  </si>
  <si>
    <t>Date, thème et émargement requis.</t>
  </si>
  <si>
    <t>À qui s'adresser, comment, et la mention que le signalement n'expose pas à des représailles.</t>
  </si>
  <si>
    <t>Zéro s'il existe une brèche par laquelle un tiers peut entrer.</t>
  </si>
  <si>
    <t>Passage piéton balisé ou protégé, séparé de l'emprise et des engins. Zéro si les piétons doivent marcher sur la chaussée ou dans l'emprise.</t>
  </si>
  <si>
    <t>Aucune circulation piétonne aux abords</t>
  </si>
  <si>
    <t>Passerelle, plaque ou remblai. Une planche isolée ne compte pas.</t>
  </si>
  <si>
    <t>L'emprise ne coupe aucun accès riverain</t>
  </si>
  <si>
    <t>Constat le long des limites de l'emprise. Zéro dès qu'un dépôt réduit la chaussée ou le trottoir.</t>
  </si>
  <si>
    <t>Cahier, boîte à plaintes, numéro dédié ou formulaire, existant et accessible aux travailleurs.</t>
  </si>
  <si>
    <t>Pour chaque plainte enregistrée, une réponse ou une mesure datée. Une seule plainte sans suite fait tomber à zéro.</t>
  </si>
  <si>
    <t>Aucune plainte reçue</t>
  </si>
  <si>
    <t>Cabinets réservés aux femmes, signalés, avec porte fermant de l'intérieur, accessibles aux ouvrières (pas seulement au personnel de bureau).</t>
  </si>
  <si>
    <t>Le chantier n'emploie aucune femme</t>
  </si>
  <si>
    <t>Constat le long de l'emprise. Zéro dès qu'un dépôt de déchets ou de matériaux est constaté hors emprise.</t>
  </si>
  <si>
    <t>Caniveaux, avaloirs et canaux jouxtant le chantier. Zéro s'ils sont obstrués par des matériaux, déblais ou laitance du chantier.</t>
  </si>
  <si>
    <t>Aucun caniveau ni canal aux abords</t>
  </si>
  <si>
    <t>On suit les tuyaux de pompage et les écoulements. Zéro si l'eau du chantier se dirige vers une parcelle riveraine.</t>
  </si>
  <si>
    <t>Tous les camions de matériaux fins observés à la sortie. Recoupe EN-PRV-3.4.</t>
  </si>
  <si>
    <t>Aucun camion de matériaux fins observé à la sortie</t>
  </si>
  <si>
    <t>Pour chaque entreprise présente (titulaire et sous-traitants), un numéro d'immatriculation employeur ou une attestation CNSS. Une seule entreprise sans pièce : 0. Les tâcherons relèvent de SO-CNF-1.3 et 1.4.</t>
  </si>
  <si>
    <t>Pour chaque entreprise présente, une attestation dont la validité couvre le jour de la visite. Une seule attestation absente ou périmée : 0. Les tâcherons relèvent de SO-CNF-1.3 et 1.4.</t>
  </si>
  <si>
    <t>Liste écrite et à jour des tâcherons présents sur le chantier.</t>
  </si>
  <si>
    <t>Le chantier ne recourt pas au tâcheronnat</t>
  </si>
  <si>
    <t>Au moins un contrat écrit et signé avec un tâcheron intervenant sur le chantier.</t>
  </si>
  <si>
    <t>Âge vérifié sur pièce (identité ou registre) si les pièces sont disponibles ; à défaut, par observation et déclaration de l'encadrement, méthode notée en observation. Zéro dès qu'un travailleur de moins de quatorze ans est constaté ou déclaré.</t>
  </si>
  <si>
    <t>Même méthode que SO-CNF-2.1. Zéro si un travailleur de moins de dix-huit ans est affecté à une zone où il peut toucher des conducteurs sous tension.</t>
  </si>
  <si>
    <t>Aucun travailleur de moins de dix-huit ans, vérifié sur pièce</t>
  </si>
  <si>
    <t>Taux de travailleurs dont la date de naissance est renseignée au registre du personnel</t>
  </si>
  <si>
    <t>Numérateur : travailleurs dont la date de naissance est renseignée au registre du personnel, toutes entreprises confondues. Dénominateur : effectif inscrit aux registres ; à défaut de registre, effectif présent le jour de la visite. Registre absent du site, ou présent sans dates de naissance : numérateur 0. Pas de NA.</t>
  </si>
  <si>
    <t>Emploi local, gestion des plaintes, information des populations, prévention des violences.</t>
  </si>
  <si>
    <t>Rapports datés, avec trace de transmission au maître d'ouvrage.</t>
  </si>
  <si>
    <t>Pour chaque écart social relevé, une action datée.</t>
  </si>
  <si>
    <t>Aucun écart relevé</t>
  </si>
  <si>
    <t>Entreprise éxécutante</t>
  </si>
  <si>
    <t>GUIDE D'UTILISATION — OUTIL HSE</t>
  </si>
  <si>
    <t>• L'outil calcule quatre indices de performance HSE pour un chantier : santé, sécurité, environnement et social</t>
  </si>
  <si>
    <t>• Il ne produit aucun indice global : les quatre dimensions ne se compensent pas</t>
  </si>
  <si>
    <t>• Un indice se lit toujours avec sa décomposition par paramètre et ses alertes, jamais seul</t>
  </si>
  <si>
    <t>• Les données proviennent de la grille d'évaluation renseignée sur le chantier, puis saisie dans KoboToolbox</t>
  </si>
  <si>
    <t>REFERENTIEL HSE</t>
  </si>
  <si>
    <t>RAPPORT D'EVALUATIUON HSE</t>
  </si>
  <si>
    <t>Données → Téléchargements. Type XLS, « Valeurs et en-têtes XML », sans cocher « Inclure les groupes dans les en-têtes »</t>
  </si>
  <si>
    <t>Vider d'abord la feuille, puis coller à partir de la cellule A1 par Collage spécial → Valeurs</t>
  </si>
  <si>
    <t>Saisir le code du chantier en B4 et la date en B5. Ce sont les deux seules cellules orange de l'en-tête</t>
  </si>
  <si>
    <t>Toute ligne en rouge signale une anomalie : valeur manquante, hors champ, NA interdit ou dénominateur invalide. Corriger dans les colonnes orange G et H</t>
  </si>
  <si>
    <t>Alertes, quatre indices, décomposition par paramètre, sous-indicateurs les plus faibles</t>
  </si>
  <si>
    <t>Copier la ligne 5, puis la coller en valeurs à la suite de l'historique</t>
  </si>
  <si>
    <t xml:space="preserve">Pour un projet couvrant plusieurs voies, l'unité observée est le tronçon en cours de travaux, ainsi que la base - vie et le cas échéant, la qui centrale qui la desservent </t>
  </si>
  <si>
    <t>1 = l'exigence est entièrement satisfaite ; 0 = elle ne l'est pas. Tout ou rien : un seul élément non conforme de la famille fait tomber à 0</t>
  </si>
  <si>
    <t>Coter 1 si aucune situation non conforme n'est constatée ; 0 dès qu'une seule l'est</t>
  </si>
  <si>
    <t>Choisir l'échelon dont la description correspond à ce qui est observé. Coter à la fin du parcours complet</t>
  </si>
  <si>
    <t>Relever le numérateur et le dénominateur, jamais un pourcentage estimé. Le calcul est fait par l'outil</t>
  </si>
  <si>
    <t>Pour une formation, une séance, une désignation ou un document, la déclaration orale ne suffit pas : la trace doit porter une date, un objet et un nom. À défaut, coter 0. Un document conservé au seul siège compte 0</t>
  </si>
  <si>
    <t>Uniquement si le critère écrit dans la colonne « NA si » est rempli. Lorsque la colonne indique « NA interdit », il faut coter obligatoirement</t>
  </si>
  <si>
    <t>Le front de travaux et la base-vie et les installations qui le desservent</t>
  </si>
  <si>
    <t>Les documents sont demandés aux entreprises présentes sur le tronçon observé. Les tâcherons relèvent de SO-CNF-1.3 et 1.4</t>
  </si>
  <si>
    <t>WC ou latrine en état de fonctionner. Ni douche, ni lavabo, ni urinoir</t>
  </si>
  <si>
    <t xml:space="preserve">Les couleurs concernent uniquemernt la note obtenu par la dimension après le calcul </t>
  </si>
  <si>
    <t>heure_debut</t>
  </si>
  <si>
    <t>heure_fin</t>
  </si>
  <si>
    <t>type_ouvrage</t>
  </si>
  <si>
    <t>phase</t>
  </si>
  <si>
    <t>effectif_h</t>
  </si>
  <si>
    <t>effectif_f</t>
  </si>
  <si>
    <t>entreprise</t>
  </si>
  <si>
    <t>meteo_24h</t>
  </si>
  <si>
    <t>observateur</t>
  </si>
  <si>
    <t>n_SA_PRV_1</t>
  </si>
  <si>
    <t>SA_PRV_1_1_obs</t>
  </si>
  <si>
    <t>SA_PRV_1_2_obs</t>
  </si>
  <si>
    <t>SA_PRV_1_3_obs</t>
  </si>
  <si>
    <t>SA_PRV_1_4_obs</t>
  </si>
  <si>
    <t>n_SA_PRV_2</t>
  </si>
  <si>
    <t>SA_PRV_2_1_obs</t>
  </si>
  <si>
    <t>SA_PRV_2_2_obs</t>
  </si>
  <si>
    <t>SA_PRV_2_3_obs</t>
  </si>
  <si>
    <t>SA_PRV_2_4_obs</t>
  </si>
  <si>
    <t>n_SA_PRV_3</t>
  </si>
  <si>
    <t>SA_PRV_3_1_obs</t>
  </si>
  <si>
    <t>SA_PRV_3_2_obs</t>
  </si>
  <si>
    <t>SA_PRV_3_3_obs</t>
  </si>
  <si>
    <t>SA_PRV_3_4_obs</t>
  </si>
  <si>
    <t>n_SA_PRT_1</t>
  </si>
  <si>
    <t>SA_PRT_1_1_obs</t>
  </si>
  <si>
    <t>SA_PRT_1_2_obs</t>
  </si>
  <si>
    <t>SA_PRT_1_3_obs</t>
  </si>
  <si>
    <t>SA_PRT_1_4_obs</t>
  </si>
  <si>
    <t>n_SA_PRT_2</t>
  </si>
  <si>
    <t>SA_PRT_2_1_obs</t>
  </si>
  <si>
    <t>SA_PRT_2_2_obs</t>
  </si>
  <si>
    <t>SA_PRT_2_3_obs</t>
  </si>
  <si>
    <t>SA_PRT_2_4_obs</t>
  </si>
  <si>
    <t>n_SA_CNF_1</t>
  </si>
  <si>
    <t>SA_CNF_1_1_obs</t>
  </si>
  <si>
    <t>SA_CNF_1_2_num</t>
  </si>
  <si>
    <t>SA_CNF_1_2_den</t>
  </si>
  <si>
    <t>SA_CNF_1_2_obs</t>
  </si>
  <si>
    <t>SA_CNF_1_3_obs</t>
  </si>
  <si>
    <t>SA_CNF_1_4_num</t>
  </si>
  <si>
    <t>SA_CNF_1_4_den</t>
  </si>
  <si>
    <t>SA_CNF_1_4_obs</t>
  </si>
  <si>
    <t>n_SA_CNF_2</t>
  </si>
  <si>
    <t>SA_CNF_2_1_num</t>
  </si>
  <si>
    <t>SA_CNF_2_1_den</t>
  </si>
  <si>
    <t>SA_CNF_2_1_obs</t>
  </si>
  <si>
    <t>SA_CNF_2_2_statut</t>
  </si>
  <si>
    <t>SA_CNF_2_2_num</t>
  </si>
  <si>
    <t>SA_CNF_2_2_den</t>
  </si>
  <si>
    <t>SA_CNF_2_2_obs</t>
  </si>
  <si>
    <t>SA_CNF_2_3_obs</t>
  </si>
  <si>
    <t>SA_CNF_2_4_obs</t>
  </si>
  <si>
    <t>n_SA_CNF_3</t>
  </si>
  <si>
    <t>SA_CNF_3_1_obs</t>
  </si>
  <si>
    <t>SA_CNF_3_2_obs</t>
  </si>
  <si>
    <t>SA_CNF_3_3_obs</t>
  </si>
  <si>
    <t>SA_CNF_3_4_obs</t>
  </si>
  <si>
    <t>n_SE_PRV_1</t>
  </si>
  <si>
    <t>SE_PRV_1_1_obs</t>
  </si>
  <si>
    <t>SE_PRV_1_2_obs</t>
  </si>
  <si>
    <t>SE_PRV_1_3_obs</t>
  </si>
  <si>
    <t>SE_PRV_1_4_obs</t>
  </si>
  <si>
    <t>n_SE_PRV_2</t>
  </si>
  <si>
    <t>SE_PRV_2_1_obs</t>
  </si>
  <si>
    <t>SE_PRV_2_2_obs</t>
  </si>
  <si>
    <t>SE_PRV_2_3_obs</t>
  </si>
  <si>
    <t>SE_PRV_2_4_obs</t>
  </si>
  <si>
    <t>n_SE_PRV_3</t>
  </si>
  <si>
    <t>SE_PRV_3_1_obs</t>
  </si>
  <si>
    <t>SE_PRV_3_2_statut</t>
  </si>
  <si>
    <t>SE_PRV_3_2_num</t>
  </si>
  <si>
    <t>SE_PRV_3_2_den</t>
  </si>
  <si>
    <t>SE_PRV_3_2_obs</t>
  </si>
  <si>
    <t>SE_PRV_3_3_obs</t>
  </si>
  <si>
    <t>SE_PRV_3_4_obs</t>
  </si>
  <si>
    <t>n_SE_PRT_1</t>
  </si>
  <si>
    <t>SE_PRT_1_1_obs</t>
  </si>
  <si>
    <t>SE_PRT_1_2_obs</t>
  </si>
  <si>
    <t>SE_PRT_1_3_obs</t>
  </si>
  <si>
    <t>SE_PRT_1_4_obs</t>
  </si>
  <si>
    <t>n_SE_PRT_2</t>
  </si>
  <si>
    <t>SE_PRT_2_1_obs</t>
  </si>
  <si>
    <t>SE_PRT_2_2_obs</t>
  </si>
  <si>
    <t>SE_PRT_2_3_obs</t>
  </si>
  <si>
    <t>SE_PRT_2_4_obs</t>
  </si>
  <si>
    <t>n_SE_PRT_3</t>
  </si>
  <si>
    <t>SE_PRT_3_1_obs</t>
  </si>
  <si>
    <t>SE_PRT_3_2_obs</t>
  </si>
  <si>
    <t>SE_PRT_3_3_obs</t>
  </si>
  <si>
    <t>SE_PRT_3_4_obs</t>
  </si>
  <si>
    <t>n_SE_CNF_1</t>
  </si>
  <si>
    <t>SE_CNF_1_1_obs</t>
  </si>
  <si>
    <t>SE_CNF_1_2_obs</t>
  </si>
  <si>
    <t>SE_CNF_1_3_obs</t>
  </si>
  <si>
    <t>SE_CNF_1_4_obs</t>
  </si>
  <si>
    <t>n_SE_CNF_2</t>
  </si>
  <si>
    <t>SE_CNF_2_1_obs</t>
  </si>
  <si>
    <t>SE_CNF_2_2_obs</t>
  </si>
  <si>
    <t>SE_CNF_2_3_obs</t>
  </si>
  <si>
    <t>SE_CNF_2_4_obs</t>
  </si>
  <si>
    <t>n_SE_CNF_3</t>
  </si>
  <si>
    <t>SE_CNF_3_1_obs</t>
  </si>
  <si>
    <t>SE_CNF_3_2_obs</t>
  </si>
  <si>
    <t>SE_CNF_3_3_statut</t>
  </si>
  <si>
    <t>SE_CNF_3_3_num</t>
  </si>
  <si>
    <t>SE_CNF_3_3_den</t>
  </si>
  <si>
    <t>SE_CNF_3_3_obs</t>
  </si>
  <si>
    <t>SE_CNF_3_4_obs</t>
  </si>
  <si>
    <t>n_EN_PRV_1</t>
  </si>
  <si>
    <t>EN_PRV_1_1_obs</t>
  </si>
  <si>
    <t>EN_PRV_1_2_obs</t>
  </si>
  <si>
    <t>EN_PRV_1_3_obs</t>
  </si>
  <si>
    <t>EN_PRV_1_4_num</t>
  </si>
  <si>
    <t>EN_PRV_1_4_den</t>
  </si>
  <si>
    <t>EN_PRV_1_4_obs</t>
  </si>
  <si>
    <t>n_EN_PRV_2</t>
  </si>
  <si>
    <t>EN_PRV_2_1_obs</t>
  </si>
  <si>
    <t>EN_PRV_2_2_obs</t>
  </si>
  <si>
    <t>EN_PRV_2_3_obs</t>
  </si>
  <si>
    <t>EN_PRV_2_4_obs</t>
  </si>
  <si>
    <t>n_EN_PRV_3</t>
  </si>
  <si>
    <t>EN_PRV_3_1_obs</t>
  </si>
  <si>
    <t>EN_PRV_3_2_obs</t>
  </si>
  <si>
    <t>EN_PRV_3_3_obs</t>
  </si>
  <si>
    <t>EN_PRV_3_4_obs</t>
  </si>
  <si>
    <t>n_EN_PRT_1</t>
  </si>
  <si>
    <t>EN_PRT_1_1_obs</t>
  </si>
  <si>
    <t>EN_PRT_1_2_obs</t>
  </si>
  <si>
    <t>EN_PRT_1_3_obs</t>
  </si>
  <si>
    <t>EN_PRT_1_4_obs</t>
  </si>
  <si>
    <t>n_EN_PRT_2</t>
  </si>
  <si>
    <t>EN_PRT_2_1_obs</t>
  </si>
  <si>
    <t>EN_PRT_2_2_obs</t>
  </si>
  <si>
    <t>EN_PRT_2_3_obs</t>
  </si>
  <si>
    <t>EN_PRT_2_4_obs</t>
  </si>
  <si>
    <t>n_EN_CNF_1</t>
  </si>
  <si>
    <t>EN_CNF_1_1_obs</t>
  </si>
  <si>
    <t>EN_CNF_1_2_obs</t>
  </si>
  <si>
    <t>EN_CNF_1_3_obs</t>
  </si>
  <si>
    <t>EN_CNF_1_4_obs</t>
  </si>
  <si>
    <t>n_EN_CNF_2</t>
  </si>
  <si>
    <t>EN_CNF_2_1_obs</t>
  </si>
  <si>
    <t>EN_CNF_2_2_obs</t>
  </si>
  <si>
    <t>EN_CNF_2_3_obs</t>
  </si>
  <si>
    <t>EN_CNF_2_4_obs</t>
  </si>
  <si>
    <t>n_EN_CNF_3</t>
  </si>
  <si>
    <t>EN_CNF_3_1_obs</t>
  </si>
  <si>
    <t>EN_CNF_3_2_obs</t>
  </si>
  <si>
    <t>EN_CNF_3_3_obs</t>
  </si>
  <si>
    <t>EN_CNF_3_4_obs</t>
  </si>
  <si>
    <t>n_SO_PRV_1</t>
  </si>
  <si>
    <t>SO_PRV_1_1_obs</t>
  </si>
  <si>
    <t>SO_PRV_1_2_obs</t>
  </si>
  <si>
    <t>SO_PRV_1_3_obs</t>
  </si>
  <si>
    <t>SO_PRV_1_4_obs</t>
  </si>
  <si>
    <t>n_SO_PRV_2</t>
  </si>
  <si>
    <t>SO_PRV_2_1_obs</t>
  </si>
  <si>
    <t>SO_PRV_2_2_obs</t>
  </si>
  <si>
    <t>SO_PRV_2_3_obs</t>
  </si>
  <si>
    <t>SO_PRV_2_4_obs</t>
  </si>
  <si>
    <t>n_SO_PRT_1</t>
  </si>
  <si>
    <t>SO_PRT_1_1_obs</t>
  </si>
  <si>
    <t>SO_PRT_1_2_obs</t>
  </si>
  <si>
    <t>SO_PRT_1_3_obs</t>
  </si>
  <si>
    <t>SO_PRT_1_4_obs</t>
  </si>
  <si>
    <t>n_SO_PRT_2</t>
  </si>
  <si>
    <t>SO_PRT_2_1_obs</t>
  </si>
  <si>
    <t>SO_PRT_2_2_obs</t>
  </si>
  <si>
    <t>SO_PRT_2_3_obs</t>
  </si>
  <si>
    <t>SO_PRT_2_4_obs</t>
  </si>
  <si>
    <t>n_SO_PRT_3</t>
  </si>
  <si>
    <t>SO_PRT_3_1_obs</t>
  </si>
  <si>
    <t>SO_PRT_3_2_obs</t>
  </si>
  <si>
    <t>SO_PRT_3_3_obs</t>
  </si>
  <si>
    <t>SO_PRT_3_4_obs</t>
  </si>
  <si>
    <t>n_SO_CNF_1</t>
  </si>
  <si>
    <t>SO_CNF_1_1_obs</t>
  </si>
  <si>
    <t>SO_CNF_1_2_obs</t>
  </si>
  <si>
    <t>SO_CNF_1_3_obs</t>
  </si>
  <si>
    <t>SO_CNF_1_4_obs</t>
  </si>
  <si>
    <t>n_SO_CNF_2</t>
  </si>
  <si>
    <t>SO_CNF_2_1_obs</t>
  </si>
  <si>
    <t>SO_CNF_2_2_obs</t>
  </si>
  <si>
    <t>SO_CNF_2_3_num</t>
  </si>
  <si>
    <t>SO_CNF_2_3_den</t>
  </si>
  <si>
    <t>SO_CNF_2_3_obs</t>
  </si>
  <si>
    <t>n_SO_CNF_3</t>
  </si>
  <si>
    <t>SO_CNF_3_1_obs</t>
  </si>
  <si>
    <t>SO_CNF_3_2_obs</t>
  </si>
  <si>
    <t>SO_CNF_3_3_obs</t>
  </si>
  <si>
    <t>SO_CNF_3_4_obs</t>
  </si>
  <si>
    <t>photo_1</t>
  </si>
  <si>
    <t>photo_1_URL</t>
  </si>
  <si>
    <t>photo_1_leg</t>
  </si>
  <si>
    <t>photo_2</t>
  </si>
  <si>
    <t>photo_2_URL</t>
  </si>
  <si>
    <t>photo_2_leg</t>
  </si>
  <si>
    <t>photo_3</t>
  </si>
  <si>
    <t>photo_3_URL</t>
  </si>
  <si>
    <t>photo_3_leg</t>
  </si>
  <si>
    <t>photo_4</t>
  </si>
  <si>
    <t>photo_4_URL</t>
  </si>
  <si>
    <t>photo_4_leg</t>
  </si>
  <si>
    <t>photo_5</t>
  </si>
  <si>
    <t>photo_5_URL</t>
  </si>
  <si>
    <t>photo_5_leg</t>
  </si>
  <si>
    <t>_id</t>
  </si>
  <si>
    <t>_uuid</t>
  </si>
  <si>
    <t>_submission_time</t>
  </si>
  <si>
    <t>_validation_status</t>
  </si>
  <si>
    <t>_status</t>
  </si>
  <si>
    <t>_submitted_by</t>
  </si>
  <si>
    <t>__version__</t>
  </si>
  <si>
    <t>meta/rootUuid</t>
  </si>
  <si>
    <t>_index</t>
  </si>
  <si>
    <t>CIIEL</t>
  </si>
  <si>
    <t>batiment</t>
  </si>
  <si>
    <t>gros_oeuvre</t>
  </si>
  <si>
    <t>SODJI Ruddy</t>
  </si>
  <si>
    <t>A</t>
  </si>
  <si>
    <t>submitted_via_web</t>
  </si>
  <si>
    <t>vVAB5uRVrkn4ZncfRrvFBV</t>
  </si>
  <si>
    <t>MAAC</t>
  </si>
  <si>
    <t>11:30:00.000+01:00</t>
  </si>
  <si>
    <t>12:20:00.000+01:00</t>
  </si>
  <si>
    <t>terrassement</t>
  </si>
  <si>
    <t>ACC</t>
  </si>
  <si>
    <t>pluie_jour</t>
  </si>
  <si>
    <t>Aucun registre vu lors de la visite pouvant affirmer la traçabilité des induction effectuées</t>
  </si>
  <si>
    <t>N</t>
  </si>
  <si>
    <t>Début d’installation</t>
  </si>
  <si>
    <t>Aucun registre ou document observer lors de la visite et qui retrace l’induction ou la sensibilisation sur le tri des déchets</t>
  </si>
  <si>
    <t>Aucun registre ou document du personnel observer lors de la visite et qui mentionne la date de naissance des travailleurs</t>
  </si>
  <si>
    <t>IMG_5528-21_18_58.jpeg</t>
  </si>
  <si>
    <t>https://kf.kobotoolbox.org/api/v2/assets/anwPTnnhVoMGvFycsgpKYU/data/876592161/attachments/att69z3aoZPBcVLUyar2hRqq/</t>
  </si>
  <si>
    <t>IMG_5505-21_38_43.jpeg</t>
  </si>
  <si>
    <t>https://kf.kobotoolbox.org/api/v2/assets/anwPTnnhVoMGvFycsgpKYU/data/876592161/attachments/attGnovScS8mxCzpBu8HTZ7Q/</t>
  </si>
  <si>
    <t>8cfef036-558c-4515-b5ac-7650ae3ffbfc</t>
  </si>
  <si>
    <t>uuid:8cfef036-558c-4515-b5ac-7650ae3ffbfc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</si>
</sst>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 x16r2:formatCode16="[$-fr-BJ,1]dd/mm/yyyy;@"/>
    <numFmt numFmtId="165" formatCode="yyyy\-mm\-dd"/>
  </numFmts>
  <fonts count="22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30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i/>
      <sz val="12"/>
      <color rgb="FF808080"/>
      <name val="Times New Roman"/>
      <family val="1"/>
    </font>
    <font>
      <b/>
      <sz val="14"/>
      <color rgb="FFFFFFFF"/>
      <name val="Times New Roman"/>
      <family val="1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0"/>
      <name val="Calibri"/>
      <family val="2"/>
      <scheme val="minor"/>
    </font>
    <font>
      <sz val="16"/>
      <color theme="0"/>
      <name val="Times New Roman"/>
      <family val="1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29">
    <xf numFmtId="0" fontId="0" fillId="0" borderId="0" xfId="0"/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1" fillId="2" borderId="0" xfId="0" applyFont="1" applyFill="1"/>
    <xf numFmtId="0" fontId="2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5" fillId="0" borderId="8" xfId="0" applyFont="1" applyBorder="1"/>
    <xf numFmtId="0" fontId="0" fillId="0" borderId="0" xfId="0" applyAlignment="1">
      <alignment horizontal="center" vertical="center" wrapText="1"/>
    </xf>
    <xf numFmtId="0" fontId="5" fillId="0" borderId="9" xfId="0" applyFont="1" applyBorder="1"/>
    <xf numFmtId="0" fontId="3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4" borderId="1" xfId="0" applyFont="1" applyFill="1" applyBorder="1"/>
    <xf numFmtId="0" fontId="3" fillId="11" borderId="1" xfId="0" applyFont="1" applyFill="1" applyBorder="1"/>
    <xf numFmtId="0" fontId="7" fillId="12" borderId="1" xfId="0" applyFont="1" applyFill="1" applyBorder="1"/>
    <xf numFmtId="0" fontId="3" fillId="13" borderId="1" xfId="0" applyFont="1" applyFill="1" applyBorder="1"/>
    <xf numFmtId="0" fontId="9" fillId="14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/>
    <xf numFmtId="2" fontId="3" fillId="6" borderId="1" xfId="0" applyNumberFormat="1" applyFont="1" applyFill="1" applyBorder="1"/>
    <xf numFmtId="0" fontId="3" fillId="4" borderId="1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9" fillId="15" borderId="0" xfId="0" applyFont="1" applyFill="1"/>
    <xf numFmtId="0" fontId="3" fillId="4" borderId="0" xfId="0" applyFont="1" applyFill="1" applyAlignment="1">
      <alignment wrapText="1"/>
    </xf>
    <xf numFmtId="0" fontId="7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0" fillId="2" borderId="0" xfId="0" applyFill="1"/>
    <xf numFmtId="0" fontId="3" fillId="18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2" fontId="0" fillId="0" borderId="1" xfId="0" applyNumberFormat="1" applyBorder="1"/>
    <xf numFmtId="0" fontId="9" fillId="15" borderId="1" xfId="0" applyFont="1" applyFill="1" applyBorder="1"/>
    <xf numFmtId="0" fontId="9" fillId="1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9" fillId="15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/>
    </xf>
    <xf numFmtId="0" fontId="10" fillId="15" borderId="10" xfId="0" applyFont="1" applyFill="1" applyBorder="1" applyAlignment="1">
      <alignment horizontal="center"/>
    </xf>
    <xf numFmtId="0" fontId="10" fillId="15" borderId="2" xfId="0" applyFont="1" applyFill="1" applyBorder="1" applyAlignment="1">
      <alignment horizontal="center"/>
    </xf>
    <xf numFmtId="0" fontId="10" fillId="15" borderId="11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0" fontId="12" fillId="0" borderId="0" xfId="0" applyNumberFormat="1" applyFont="1"/>
    <xf numFmtId="20" fontId="12" fillId="0" borderId="0" xfId="0" applyNumberFormat="1" applyFont="1" applyAlignment="1"/>
    <xf numFmtId="0" fontId="12" fillId="0" borderId="0" xfId="0" applyFont="1" applyAlignment="1"/>
    <xf numFmtId="0" fontId="0" fillId="0" borderId="0" xfId="0" applyAlignment="1"/>
    <xf numFmtId="0" fontId="16" fillId="15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19" fillId="15" borderId="0" xfId="0" applyFont="1" applyFill="1"/>
    <xf numFmtId="20" fontId="19" fillId="15" borderId="0" xfId="0" applyNumberFormat="1" applyFont="1" applyFill="1"/>
    <xf numFmtId="20" fontId="18" fillId="15" borderId="0" xfId="0" applyNumberFormat="1" applyFont="1" applyFill="1" applyAlignment="1">
      <alignment vertical="center"/>
    </xf>
    <xf numFmtId="0" fontId="12" fillId="15" borderId="0" xfId="0" applyFont="1" applyFill="1" applyAlignment="1"/>
    <xf numFmtId="20" fontId="5" fillId="4" borderId="1" xfId="0" applyNumberFormat="1" applyFont="1" applyFill="1" applyBorder="1" applyAlignment="1">
      <alignment vertical="center"/>
    </xf>
    <xf numFmtId="20" fontId="6" fillId="4" borderId="1" xfId="0" applyNumberFormat="1" applyFont="1" applyFill="1" applyBorder="1" applyAlignment="1">
      <alignment vertical="center"/>
    </xf>
    <xf numFmtId="20" fontId="6" fillId="0" borderId="1" xfId="0" applyNumberFormat="1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14" fillId="1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4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6" fillId="19" borderId="8" xfId="0" applyFont="1" applyFill="1" applyBorder="1" applyAlignment="1">
      <alignment vertical="center"/>
    </xf>
    <xf numFmtId="0" fontId="15" fillId="19" borderId="8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/>
    <xf numFmtId="0" fontId="21" fillId="0" borderId="0" xfId="1" applyAlignment="1" applyProtection="1"/>
    <xf numFmtId="0" fontId="6" fillId="2" borderId="8" xfId="0" applyFont="1" applyFill="1" applyBorder="1" applyAlignment="1" applyProtection="1">
      <alignment horizontal="center" vertical="center"/>
      <protection locked="0"/>
    </xf>
    <xf numFmtId="14" fontId="6" fillId="2" borderId="8" xfId="0" applyNumberFormat="1" applyFont="1" applyFill="1" applyBorder="1" applyAlignment="1" applyProtection="1">
      <alignment horizontal="center" vertical="center"/>
      <protection locked="0" hidden="1"/>
    </xf>
    <xf numFmtId="0" fontId="6" fillId="8" borderId="8" xfId="0" applyFont="1" applyFill="1" applyBorder="1" applyAlignment="1" applyProtection="1">
      <alignment horizontal="center" vertical="center"/>
      <protection hidden="1"/>
    </xf>
    <xf numFmtId="0" fontId="0" fillId="8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ill>
        <patternFill>
          <bgColor rgb="FFFCD5B4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00B0F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92D050"/>
      <color rgb="FFED7D31"/>
      <color rgb="FFFF0000"/>
      <color rgb="FFFFF2CC"/>
      <color rgb="FFFCD5B4"/>
      <color rgb="FFFFC7CE"/>
      <color rgb="FFFFC7FF"/>
      <color rgb="FFA9D08E"/>
      <color rgb="FFE2EFDA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D82D2-C4F2-43AC-814B-DB03982088C9}" name="tbl_referentiel" displayName="tbl_referentiel" ref="A3:J134" totalsRowShown="0" headerRowDxfId="28" dataDxfId="26" headerRowBorderDxfId="27" tableBorderDxfId="25" totalsRowBorderDxfId="24">
  <autoFilter ref="A3:J134" xr:uid="{F40D82D2-C4F2-43AC-814B-DB03982088C9}"/>
  <tableColumns count="10">
    <tableColumn id="1" xr3:uid="{1641B93F-F9F3-41D6-95BF-11F06CDFE636}" name="DIMENSION" dataDxfId="23"/>
    <tableColumn id="2" xr3:uid="{E491886A-898B-482A-9740-02119DB5540B}" name="PARAMETRE" dataDxfId="22"/>
    <tableColumn id="3" xr3:uid="{C5800C95-4F3C-4DB9-8F36-E789F8EA66A4}" name="CODE INDICATEUR" dataDxfId="21"/>
    <tableColumn id="4" xr3:uid="{053B446D-2586-438D-B46C-2BEB706A5100}" name="INDICATEUR" dataDxfId="20"/>
    <tableColumn id="5" xr3:uid="{497E0291-306B-4A84-851D-687F2B946A3A}" name="CODE SOUS INDICATEUR " dataDxfId="19"/>
    <tableColumn id="6" xr3:uid="{79CE0372-9031-497F-B606-17B355870DDA}" name="SOUS INDICATEUR" dataDxfId="18"/>
    <tableColumn id="7" xr3:uid="{76111818-BE58-4FF0-9037-9412DE0F4DB3}" name="CODE KOBO" dataDxfId="17"/>
    <tableColumn id="8" xr3:uid="{82F7729F-DE04-4AC5-A863-0944B66FDDBE}" name="TYPE" dataDxfId="16"/>
    <tableColumn id="9" xr3:uid="{86224060-8D46-49C8-8E9A-B0137067432C}" name="NA AUTORISE" dataDxfId="15"/>
    <tableColumn id="10" xr3:uid="{6BA37F16-3DEF-4C68-BDB1-1D208A8E50BA}" name="FACTEUR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f.kobotoolbox.org/api/v2/assets/anwPTnnhVoMGvFycsgpKYU/data/876592161/attachments/attGnovScS8mxCzpBu8HTZ7Q/" TargetMode="External"/><Relationship Id="rId1" Type="http://schemas.openxmlformats.org/officeDocument/2006/relationships/hyperlink" Target="https://kf.kobotoolbox.org/api/v2/assets/anwPTnnhVoMGvFycsgpKYU/data/876592161/attachments/att69z3aoZPBcVLUyar2hRq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0FF1-9564-4774-BBC4-38B99264D17F}">
  <dimension ref="A1:S18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E2" sqref="E2"/>
    </sheetView>
  </sheetViews>
  <sheetFormatPr baseColWidth="10" defaultRowHeight="15" x14ac:dyDescent="0.25"/>
  <cols>
    <col min="5" max="5" width="72.7109375" bestFit="1" customWidth="1"/>
  </cols>
  <sheetData>
    <row r="1" spans="1:19" ht="25.5" x14ac:dyDescent="0.25">
      <c r="A1" s="109" t="s">
        <v>797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15.75" x14ac:dyDescent="0.25">
      <c r="A2" s="74"/>
      <c r="B2" s="73"/>
      <c r="C2" s="73"/>
      <c r="D2" s="73"/>
      <c r="E2" s="73"/>
    </row>
    <row r="3" spans="1:19" ht="15.75" x14ac:dyDescent="0.25">
      <c r="A3" s="74"/>
      <c r="B3" s="73"/>
      <c r="C3" s="73"/>
      <c r="D3" s="73"/>
      <c r="E3" s="73"/>
    </row>
    <row r="4" spans="1:19" ht="15.75" x14ac:dyDescent="0.25">
      <c r="A4" s="73"/>
      <c r="B4" s="73"/>
      <c r="C4" s="73"/>
      <c r="D4" s="73"/>
      <c r="E4" s="73"/>
    </row>
    <row r="5" spans="1:19" ht="18.75" x14ac:dyDescent="0.25">
      <c r="A5" s="81" t="s">
        <v>568</v>
      </c>
      <c r="B5" s="82"/>
      <c r="C5" s="82"/>
      <c r="D5" s="82"/>
      <c r="E5" s="82"/>
    </row>
    <row r="6" spans="1:19" ht="15.75" x14ac:dyDescent="0.25">
      <c r="A6" s="75" t="s">
        <v>798</v>
      </c>
      <c r="B6" s="73"/>
      <c r="C6" s="73"/>
      <c r="D6" s="73"/>
      <c r="E6" s="73"/>
    </row>
    <row r="7" spans="1:19" ht="15.75" x14ac:dyDescent="0.25">
      <c r="A7" s="75" t="s">
        <v>799</v>
      </c>
      <c r="B7" s="73"/>
      <c r="C7" s="73"/>
      <c r="D7" s="73"/>
      <c r="E7" s="73"/>
    </row>
    <row r="8" spans="1:19" ht="15.75" x14ac:dyDescent="0.25">
      <c r="A8" s="75" t="s">
        <v>800</v>
      </c>
      <c r="B8" s="73"/>
      <c r="C8" s="73"/>
      <c r="D8" s="73"/>
      <c r="E8" s="73"/>
    </row>
    <row r="9" spans="1:19" ht="15.75" x14ac:dyDescent="0.25">
      <c r="A9" s="75" t="s">
        <v>801</v>
      </c>
      <c r="B9" s="73"/>
      <c r="C9" s="73"/>
      <c r="D9" s="73"/>
      <c r="E9" s="73"/>
    </row>
    <row r="10" spans="1:19" ht="15.75" x14ac:dyDescent="0.25">
      <c r="A10" s="73"/>
      <c r="B10" s="73"/>
      <c r="C10" s="73"/>
      <c r="D10" s="73"/>
      <c r="E10" s="73"/>
    </row>
    <row r="11" spans="1:19" ht="18.75" x14ac:dyDescent="0.25">
      <c r="A11" s="84" t="s">
        <v>569</v>
      </c>
      <c r="B11" s="83"/>
      <c r="C11" s="83"/>
      <c r="D11" s="83"/>
      <c r="E11" s="82"/>
    </row>
    <row r="12" spans="1:19" ht="15.75" x14ac:dyDescent="0.25">
      <c r="A12" s="86" t="s">
        <v>570</v>
      </c>
      <c r="B12" s="86" t="s">
        <v>571</v>
      </c>
      <c r="C12" s="86" t="s">
        <v>572</v>
      </c>
      <c r="D12" s="76"/>
      <c r="E12" s="73"/>
    </row>
    <row r="13" spans="1:19" ht="15.75" x14ac:dyDescent="0.25">
      <c r="A13" s="87" t="s">
        <v>573</v>
      </c>
      <c r="B13" s="88" t="s">
        <v>574</v>
      </c>
      <c r="C13" s="88" t="s">
        <v>804</v>
      </c>
      <c r="D13" s="77"/>
      <c r="E13" s="78"/>
      <c r="F13" s="79"/>
      <c r="G13" s="79"/>
      <c r="H13" s="79"/>
      <c r="I13" s="79"/>
    </row>
    <row r="14" spans="1:19" ht="15.75" x14ac:dyDescent="0.25">
      <c r="A14" s="87" t="s">
        <v>575</v>
      </c>
      <c r="B14" s="88" t="s">
        <v>576</v>
      </c>
      <c r="C14" s="88" t="s">
        <v>805</v>
      </c>
      <c r="D14" s="77"/>
      <c r="E14" s="78"/>
      <c r="F14" s="79"/>
      <c r="G14" s="79"/>
      <c r="H14" s="79"/>
      <c r="I14" s="79"/>
    </row>
    <row r="15" spans="1:19" ht="15.75" x14ac:dyDescent="0.25">
      <c r="A15" s="87" t="s">
        <v>577</v>
      </c>
      <c r="B15" s="88" t="s">
        <v>578</v>
      </c>
      <c r="C15" s="88" t="s">
        <v>806</v>
      </c>
      <c r="D15" s="77"/>
      <c r="E15" s="78"/>
      <c r="F15" s="79"/>
      <c r="G15" s="79"/>
      <c r="H15" s="79"/>
      <c r="I15" s="79"/>
    </row>
    <row r="16" spans="1:19" ht="15.75" x14ac:dyDescent="0.25">
      <c r="A16" s="87" t="s">
        <v>579</v>
      </c>
      <c r="B16" s="88" t="s">
        <v>580</v>
      </c>
      <c r="C16" s="88" t="s">
        <v>807</v>
      </c>
      <c r="D16" s="77"/>
      <c r="E16" s="78"/>
      <c r="F16" s="79"/>
      <c r="G16" s="79"/>
      <c r="H16" s="79"/>
      <c r="I16" s="79"/>
    </row>
    <row r="17" spans="1:9" ht="15.75" x14ac:dyDescent="0.25">
      <c r="A17" s="87" t="s">
        <v>581</v>
      </c>
      <c r="B17" s="88" t="s">
        <v>582</v>
      </c>
      <c r="C17" s="88" t="s">
        <v>808</v>
      </c>
      <c r="D17" s="77"/>
      <c r="E17" s="78"/>
      <c r="F17" s="79"/>
      <c r="G17" s="79"/>
      <c r="H17" s="79"/>
      <c r="I17" s="79"/>
    </row>
    <row r="18" spans="1:9" ht="15.75" x14ac:dyDescent="0.25">
      <c r="A18" s="87" t="s">
        <v>583</v>
      </c>
      <c r="B18" s="88" t="s">
        <v>584</v>
      </c>
      <c r="C18" s="88" t="s">
        <v>809</v>
      </c>
      <c r="D18" s="77"/>
      <c r="E18" s="78"/>
      <c r="F18" s="79"/>
      <c r="G18" s="79"/>
      <c r="H18" s="79"/>
      <c r="I18" s="79"/>
    </row>
    <row r="19" spans="1:9" ht="15.75" x14ac:dyDescent="0.25">
      <c r="A19" s="78"/>
      <c r="B19" s="78"/>
      <c r="C19" s="78"/>
      <c r="D19" s="78"/>
      <c r="E19" s="78"/>
      <c r="F19" s="79"/>
      <c r="G19" s="79"/>
      <c r="H19" s="79"/>
      <c r="I19" s="79"/>
    </row>
    <row r="20" spans="1:9" ht="18.75" x14ac:dyDescent="0.25">
      <c r="A20" s="80" t="s">
        <v>585</v>
      </c>
      <c r="B20" s="85"/>
      <c r="C20" s="85"/>
      <c r="D20" s="85"/>
      <c r="E20" s="85"/>
      <c r="F20" s="79"/>
      <c r="G20" s="79"/>
      <c r="H20" s="79"/>
      <c r="I20" s="79"/>
    </row>
    <row r="21" spans="1:9" ht="15.75" x14ac:dyDescent="0.25">
      <c r="A21" s="89" t="s">
        <v>586</v>
      </c>
      <c r="B21" s="75" t="s">
        <v>587</v>
      </c>
      <c r="C21" s="78"/>
      <c r="D21" s="78"/>
      <c r="E21" s="78"/>
      <c r="F21" s="79"/>
      <c r="G21" s="79"/>
      <c r="H21" s="79"/>
      <c r="I21" s="79"/>
    </row>
    <row r="22" spans="1:9" ht="15.75" x14ac:dyDescent="0.25">
      <c r="A22" s="90" t="s">
        <v>588</v>
      </c>
      <c r="B22" s="75" t="s">
        <v>589</v>
      </c>
      <c r="C22" s="78"/>
      <c r="D22" s="78"/>
      <c r="E22" s="78"/>
      <c r="F22" s="79"/>
      <c r="G22" s="79"/>
      <c r="H22" s="79"/>
      <c r="I22" s="79"/>
    </row>
    <row r="23" spans="1:9" ht="15.75" x14ac:dyDescent="0.25">
      <c r="A23" s="91" t="s">
        <v>590</v>
      </c>
      <c r="B23" s="75" t="s">
        <v>591</v>
      </c>
      <c r="C23" s="78"/>
      <c r="D23" s="78"/>
      <c r="E23" s="78"/>
      <c r="F23" s="79"/>
      <c r="G23" s="79"/>
      <c r="H23" s="79"/>
      <c r="I23" s="79"/>
    </row>
    <row r="24" spans="1:9" ht="15.75" x14ac:dyDescent="0.25">
      <c r="A24" s="74"/>
      <c r="B24" s="78"/>
      <c r="C24" s="78"/>
      <c r="D24" s="78"/>
      <c r="E24" s="78"/>
      <c r="F24" s="79"/>
      <c r="G24" s="79"/>
      <c r="H24" s="79"/>
      <c r="I24" s="79"/>
    </row>
    <row r="25" spans="1:9" ht="15.75" x14ac:dyDescent="0.25">
      <c r="A25" s="78"/>
      <c r="B25" s="78"/>
      <c r="C25" s="78"/>
      <c r="D25" s="78"/>
      <c r="E25" s="78"/>
      <c r="F25" s="79"/>
      <c r="G25" s="79"/>
      <c r="H25" s="79"/>
      <c r="I25" s="79"/>
    </row>
    <row r="26" spans="1:9" ht="15.75" x14ac:dyDescent="0.25">
      <c r="A26" s="92" t="s">
        <v>592</v>
      </c>
      <c r="B26" s="85"/>
      <c r="C26" s="85"/>
      <c r="D26" s="85"/>
      <c r="E26" s="85"/>
      <c r="F26" s="79"/>
      <c r="G26" s="79"/>
      <c r="H26" s="79"/>
      <c r="I26" s="79"/>
    </row>
    <row r="27" spans="1:9" ht="15.75" x14ac:dyDescent="0.25">
      <c r="A27" s="93" t="s">
        <v>530</v>
      </c>
      <c r="B27" s="93" t="s">
        <v>531</v>
      </c>
      <c r="C27" s="93" t="s">
        <v>593</v>
      </c>
      <c r="D27" s="93" t="s">
        <v>594</v>
      </c>
      <c r="E27" s="78"/>
      <c r="F27" s="79"/>
      <c r="G27" s="79"/>
      <c r="H27" s="79"/>
      <c r="I27" s="79"/>
    </row>
    <row r="28" spans="1:9" ht="15.75" x14ac:dyDescent="0.25">
      <c r="A28" s="94" t="s">
        <v>595</v>
      </c>
      <c r="B28" s="91" t="s">
        <v>596</v>
      </c>
      <c r="C28" s="75" t="s">
        <v>597</v>
      </c>
      <c r="D28" s="75" t="s">
        <v>598</v>
      </c>
      <c r="E28" s="78"/>
      <c r="F28" s="79"/>
      <c r="G28" s="79"/>
      <c r="H28" s="79"/>
      <c r="I28" s="79"/>
    </row>
    <row r="29" spans="1:9" ht="15.75" x14ac:dyDescent="0.25">
      <c r="A29" s="95" t="s">
        <v>599</v>
      </c>
      <c r="B29" s="89" t="s">
        <v>600</v>
      </c>
      <c r="C29" s="75" t="s">
        <v>601</v>
      </c>
      <c r="D29" s="75" t="s">
        <v>602</v>
      </c>
      <c r="E29" s="78"/>
      <c r="F29" s="79"/>
      <c r="G29" s="79"/>
      <c r="H29" s="79"/>
      <c r="I29" s="79"/>
    </row>
    <row r="30" spans="1:9" ht="15.75" x14ac:dyDescent="0.25">
      <c r="A30" s="96" t="s">
        <v>603</v>
      </c>
      <c r="B30" s="97" t="s">
        <v>604</v>
      </c>
      <c r="C30" s="75" t="s">
        <v>605</v>
      </c>
      <c r="D30" s="75" t="s">
        <v>606</v>
      </c>
      <c r="E30" s="78"/>
      <c r="F30" s="79"/>
      <c r="G30" s="79"/>
      <c r="H30" s="79"/>
      <c r="I30" s="79"/>
    </row>
    <row r="31" spans="1:9" ht="15.75" x14ac:dyDescent="0.25">
      <c r="A31" s="99" t="s">
        <v>607</v>
      </c>
      <c r="B31" s="100" t="s">
        <v>608</v>
      </c>
      <c r="C31" s="75" t="s">
        <v>609</v>
      </c>
      <c r="D31" s="75" t="s">
        <v>610</v>
      </c>
      <c r="E31" s="78"/>
      <c r="F31" s="79"/>
      <c r="G31" s="79"/>
      <c r="H31" s="79"/>
      <c r="I31" s="79"/>
    </row>
    <row r="32" spans="1:9" ht="15.75" x14ac:dyDescent="0.25">
      <c r="A32" s="98" t="s">
        <v>611</v>
      </c>
      <c r="B32" s="93" t="s">
        <v>612</v>
      </c>
      <c r="C32" s="75" t="s">
        <v>613</v>
      </c>
      <c r="D32" s="75" t="s">
        <v>614</v>
      </c>
      <c r="E32" s="78"/>
      <c r="F32" s="79"/>
      <c r="G32" s="79"/>
      <c r="H32" s="79"/>
      <c r="I32" s="79"/>
    </row>
    <row r="33" spans="1:9" ht="15.75" x14ac:dyDescent="0.25">
      <c r="A33" s="74" t="s">
        <v>820</v>
      </c>
      <c r="B33" s="78"/>
      <c r="C33" s="78"/>
      <c r="D33" s="78"/>
      <c r="E33" s="78"/>
      <c r="F33" s="79"/>
      <c r="G33" s="79"/>
      <c r="H33" s="79"/>
      <c r="I33" s="79"/>
    </row>
    <row r="34" spans="1:9" ht="15.75" x14ac:dyDescent="0.25">
      <c r="A34" s="74"/>
      <c r="B34" s="78"/>
      <c r="C34" s="78"/>
      <c r="D34" s="78"/>
      <c r="E34" s="78"/>
      <c r="F34" s="79"/>
      <c r="G34" s="79"/>
      <c r="H34" s="79"/>
      <c r="I34" s="79"/>
    </row>
    <row r="35" spans="1:9" ht="15.75" x14ac:dyDescent="0.25">
      <c r="A35" s="78"/>
      <c r="B35" s="78"/>
      <c r="C35" s="78"/>
      <c r="D35" s="78"/>
      <c r="E35" s="78"/>
      <c r="F35" s="79"/>
      <c r="G35" s="79"/>
      <c r="H35" s="79"/>
      <c r="I35" s="79"/>
    </row>
    <row r="36" spans="1:9" ht="15.75" x14ac:dyDescent="0.25">
      <c r="A36" s="92" t="s">
        <v>615</v>
      </c>
      <c r="B36" s="85"/>
      <c r="C36" s="85"/>
      <c r="D36" s="85"/>
      <c r="E36" s="85"/>
      <c r="F36" s="79"/>
      <c r="G36" s="79"/>
      <c r="H36" s="79"/>
      <c r="I36" s="79"/>
    </row>
    <row r="37" spans="1:9" ht="15.75" x14ac:dyDescent="0.25">
      <c r="A37" s="106" t="s">
        <v>465</v>
      </c>
      <c r="B37" s="75" t="s">
        <v>811</v>
      </c>
      <c r="C37" s="78"/>
      <c r="D37" s="78"/>
      <c r="E37" s="78"/>
      <c r="F37" s="79"/>
      <c r="G37" s="79"/>
      <c r="H37" s="79"/>
      <c r="I37" s="79"/>
    </row>
    <row r="38" spans="1:9" ht="15.75" x14ac:dyDescent="0.25">
      <c r="A38" s="107" t="s">
        <v>616</v>
      </c>
      <c r="B38" s="75" t="s">
        <v>812</v>
      </c>
      <c r="C38" s="78"/>
      <c r="D38" s="78"/>
      <c r="E38" s="78"/>
      <c r="F38" s="79"/>
      <c r="G38" s="79"/>
      <c r="H38" s="79"/>
      <c r="I38" s="79"/>
    </row>
    <row r="39" spans="1:9" ht="15.75" x14ac:dyDescent="0.25">
      <c r="A39" s="107" t="s">
        <v>467</v>
      </c>
      <c r="B39" s="75" t="s">
        <v>813</v>
      </c>
      <c r="C39" s="78"/>
      <c r="D39" s="78"/>
      <c r="E39" s="78"/>
      <c r="F39" s="79"/>
      <c r="G39" s="79"/>
      <c r="H39" s="79"/>
      <c r="I39" s="79"/>
    </row>
    <row r="40" spans="1:9" ht="15.75" x14ac:dyDescent="0.25">
      <c r="A40" s="107" t="s">
        <v>466</v>
      </c>
      <c r="B40" s="75" t="s">
        <v>814</v>
      </c>
      <c r="C40" s="78"/>
      <c r="D40" s="78"/>
      <c r="E40" s="78"/>
      <c r="F40" s="79"/>
      <c r="G40" s="79"/>
      <c r="H40" s="79"/>
      <c r="I40" s="79"/>
    </row>
    <row r="41" spans="1:9" ht="15.75" x14ac:dyDescent="0.25">
      <c r="A41" s="107" t="s">
        <v>617</v>
      </c>
      <c r="B41" s="75" t="s">
        <v>815</v>
      </c>
      <c r="C41" s="78"/>
      <c r="D41" s="78"/>
      <c r="E41" s="78"/>
      <c r="F41" s="79"/>
      <c r="G41" s="79"/>
      <c r="H41" s="79"/>
      <c r="I41" s="79"/>
    </row>
    <row r="42" spans="1:9" ht="15.75" x14ac:dyDescent="0.25">
      <c r="A42" s="107" t="s">
        <v>618</v>
      </c>
      <c r="B42" s="75" t="s">
        <v>816</v>
      </c>
      <c r="C42" s="78"/>
      <c r="D42" s="78"/>
      <c r="E42" s="78"/>
      <c r="F42" s="79"/>
      <c r="G42" s="79"/>
      <c r="H42" s="79"/>
      <c r="I42" s="79"/>
    </row>
    <row r="43" spans="1:9" ht="15.75" x14ac:dyDescent="0.25">
      <c r="A43" s="107" t="s">
        <v>619</v>
      </c>
      <c r="B43" s="75" t="s">
        <v>817</v>
      </c>
      <c r="C43" s="78"/>
      <c r="D43" s="78"/>
      <c r="E43" s="78"/>
      <c r="F43" s="79"/>
      <c r="G43" s="79"/>
      <c r="H43" s="79"/>
      <c r="I43" s="79"/>
    </row>
    <row r="44" spans="1:9" ht="15.75" x14ac:dyDescent="0.25">
      <c r="A44" s="107" t="s">
        <v>620</v>
      </c>
      <c r="B44" s="75" t="s">
        <v>810</v>
      </c>
      <c r="C44" s="78"/>
      <c r="D44" s="78"/>
      <c r="E44" s="78"/>
      <c r="F44" s="79"/>
      <c r="G44" s="79"/>
      <c r="H44" s="79"/>
      <c r="I44" s="79"/>
    </row>
    <row r="45" spans="1:9" ht="15.75" x14ac:dyDescent="0.25">
      <c r="A45" s="107" t="s">
        <v>621</v>
      </c>
      <c r="B45" s="75" t="s">
        <v>818</v>
      </c>
      <c r="C45" s="78"/>
      <c r="D45" s="78"/>
      <c r="E45" s="78"/>
      <c r="F45" s="79"/>
      <c r="G45" s="79"/>
      <c r="H45" s="79"/>
      <c r="I45" s="79"/>
    </row>
    <row r="46" spans="1:9" ht="15.75" x14ac:dyDescent="0.25">
      <c r="A46" s="108" t="s">
        <v>622</v>
      </c>
      <c r="B46" s="75" t="s">
        <v>819</v>
      </c>
      <c r="C46" s="78"/>
      <c r="D46" s="78"/>
      <c r="E46" s="78"/>
      <c r="F46" s="79"/>
      <c r="G46" s="79"/>
      <c r="H46" s="79"/>
      <c r="I46" s="79"/>
    </row>
    <row r="47" spans="1:9" ht="15.75" x14ac:dyDescent="0.25">
      <c r="A47" s="78"/>
      <c r="B47" s="78"/>
      <c r="C47" s="78"/>
      <c r="D47" s="78"/>
      <c r="E47" s="78"/>
      <c r="F47" s="79"/>
      <c r="G47" s="79"/>
      <c r="H47" s="79"/>
      <c r="I47" s="79"/>
    </row>
    <row r="48" spans="1:9" ht="15.75" x14ac:dyDescent="0.25">
      <c r="A48" s="92" t="s">
        <v>623</v>
      </c>
      <c r="B48" s="85"/>
      <c r="C48" s="85"/>
      <c r="D48" s="85"/>
      <c r="E48" s="85"/>
      <c r="F48" s="79"/>
      <c r="G48" s="79"/>
      <c r="H48" s="79"/>
      <c r="I48" s="79"/>
    </row>
    <row r="49" spans="1:9" ht="15.75" x14ac:dyDescent="0.25">
      <c r="A49" s="101" t="s">
        <v>517</v>
      </c>
      <c r="B49" s="101" t="s">
        <v>557</v>
      </c>
      <c r="C49" s="101" t="s">
        <v>521</v>
      </c>
      <c r="D49" s="101" t="s">
        <v>624</v>
      </c>
      <c r="E49" s="101" t="s">
        <v>625</v>
      </c>
      <c r="F49" s="79"/>
      <c r="G49" s="79"/>
      <c r="H49" s="79"/>
      <c r="I49" s="79"/>
    </row>
    <row r="50" spans="1:9" ht="15.75" x14ac:dyDescent="0.25">
      <c r="A50" s="101" t="s">
        <v>11</v>
      </c>
      <c r="B50" s="102" t="s">
        <v>12</v>
      </c>
      <c r="C50" s="102" t="s">
        <v>465</v>
      </c>
      <c r="D50" s="102" t="s">
        <v>626</v>
      </c>
      <c r="E50" s="103" t="s">
        <v>627</v>
      </c>
      <c r="F50" s="79"/>
      <c r="G50" s="79"/>
      <c r="H50" s="79"/>
      <c r="I50" s="79"/>
    </row>
    <row r="51" spans="1:9" ht="15.75" x14ac:dyDescent="0.25">
      <c r="A51" s="101" t="s">
        <v>14</v>
      </c>
      <c r="B51" s="104" t="s">
        <v>15</v>
      </c>
      <c r="C51" s="104" t="s">
        <v>465</v>
      </c>
      <c r="D51" s="104" t="s">
        <v>628</v>
      </c>
      <c r="E51" s="104" t="s">
        <v>629</v>
      </c>
      <c r="F51" s="79"/>
      <c r="G51" s="79"/>
      <c r="H51" s="79"/>
      <c r="I51" s="79"/>
    </row>
    <row r="52" spans="1:9" ht="15.75" x14ac:dyDescent="0.25">
      <c r="A52" s="101" t="s">
        <v>17</v>
      </c>
      <c r="B52" s="102" t="s">
        <v>18</v>
      </c>
      <c r="C52" s="102" t="s">
        <v>465</v>
      </c>
      <c r="D52" s="102" t="s">
        <v>630</v>
      </c>
      <c r="E52" s="103" t="s">
        <v>627</v>
      </c>
      <c r="F52" s="79"/>
      <c r="G52" s="79"/>
      <c r="H52" s="79"/>
      <c r="I52" s="79"/>
    </row>
    <row r="53" spans="1:9" ht="15.75" x14ac:dyDescent="0.25">
      <c r="A53" s="101" t="s">
        <v>20</v>
      </c>
      <c r="B53" s="104" t="s">
        <v>21</v>
      </c>
      <c r="C53" s="104" t="s">
        <v>465</v>
      </c>
      <c r="D53" s="104" t="s">
        <v>631</v>
      </c>
      <c r="E53" s="104" t="s">
        <v>632</v>
      </c>
      <c r="F53" s="79"/>
      <c r="G53" s="79"/>
      <c r="H53" s="79"/>
      <c r="I53" s="79"/>
    </row>
    <row r="54" spans="1:9" ht="15.75" x14ac:dyDescent="0.25">
      <c r="A54" s="101" t="s">
        <v>25</v>
      </c>
      <c r="B54" s="102" t="s">
        <v>26</v>
      </c>
      <c r="C54" s="102" t="s">
        <v>465</v>
      </c>
      <c r="D54" s="102" t="s">
        <v>633</v>
      </c>
      <c r="E54" s="103" t="s">
        <v>627</v>
      </c>
      <c r="F54" s="79"/>
      <c r="G54" s="79"/>
      <c r="H54" s="79"/>
      <c r="I54" s="79"/>
    </row>
    <row r="55" spans="1:9" ht="15.75" x14ac:dyDescent="0.25">
      <c r="A55" s="101" t="s">
        <v>28</v>
      </c>
      <c r="B55" s="104" t="s">
        <v>29</v>
      </c>
      <c r="C55" s="104" t="s">
        <v>465</v>
      </c>
      <c r="D55" s="104" t="s">
        <v>634</v>
      </c>
      <c r="E55" s="105" t="s">
        <v>627</v>
      </c>
      <c r="F55" s="79"/>
      <c r="G55" s="79"/>
      <c r="H55" s="79"/>
      <c r="I55" s="79"/>
    </row>
    <row r="56" spans="1:9" ht="15.75" x14ac:dyDescent="0.25">
      <c r="A56" s="101" t="s">
        <v>31</v>
      </c>
      <c r="B56" s="102" t="s">
        <v>32</v>
      </c>
      <c r="C56" s="102" t="s">
        <v>465</v>
      </c>
      <c r="D56" s="102" t="s">
        <v>635</v>
      </c>
      <c r="E56" s="103" t="s">
        <v>627</v>
      </c>
      <c r="F56" s="79"/>
      <c r="G56" s="79"/>
      <c r="H56" s="79"/>
      <c r="I56" s="79"/>
    </row>
    <row r="57" spans="1:9" ht="15.75" x14ac:dyDescent="0.25">
      <c r="A57" s="101" t="s">
        <v>34</v>
      </c>
      <c r="B57" s="104" t="s">
        <v>35</v>
      </c>
      <c r="C57" s="104" t="s">
        <v>465</v>
      </c>
      <c r="D57" s="104" t="s">
        <v>636</v>
      </c>
      <c r="E57" s="105" t="s">
        <v>627</v>
      </c>
      <c r="F57" s="79"/>
      <c r="G57" s="79"/>
      <c r="H57" s="79"/>
      <c r="I57" s="79"/>
    </row>
    <row r="58" spans="1:9" ht="15.75" x14ac:dyDescent="0.25">
      <c r="A58" s="101" t="s">
        <v>39</v>
      </c>
      <c r="B58" s="102" t="s">
        <v>40</v>
      </c>
      <c r="C58" s="102" t="s">
        <v>465</v>
      </c>
      <c r="D58" s="102" t="s">
        <v>637</v>
      </c>
      <c r="E58" s="103" t="s">
        <v>627</v>
      </c>
      <c r="F58" s="79"/>
      <c r="G58" s="79"/>
      <c r="H58" s="79"/>
      <c r="I58" s="79"/>
    </row>
    <row r="59" spans="1:9" ht="15.75" x14ac:dyDescent="0.25">
      <c r="A59" s="101" t="s">
        <v>42</v>
      </c>
      <c r="B59" s="104" t="s">
        <v>43</v>
      </c>
      <c r="C59" s="104" t="s">
        <v>465</v>
      </c>
      <c r="D59" s="104" t="s">
        <v>638</v>
      </c>
      <c r="E59" s="105" t="s">
        <v>627</v>
      </c>
      <c r="F59" s="79"/>
      <c r="G59" s="79"/>
      <c r="H59" s="79"/>
      <c r="I59" s="79"/>
    </row>
    <row r="60" spans="1:9" ht="15.75" x14ac:dyDescent="0.25">
      <c r="A60" s="101" t="s">
        <v>45</v>
      </c>
      <c r="B60" s="102" t="s">
        <v>639</v>
      </c>
      <c r="C60" s="102" t="s">
        <v>466</v>
      </c>
      <c r="D60" s="102" t="s">
        <v>640</v>
      </c>
      <c r="E60" s="103" t="s">
        <v>627</v>
      </c>
      <c r="F60" s="79"/>
      <c r="G60" s="79"/>
      <c r="H60" s="79"/>
      <c r="I60" s="79"/>
    </row>
    <row r="61" spans="1:9" ht="15.75" x14ac:dyDescent="0.25">
      <c r="A61" s="101" t="s">
        <v>47</v>
      </c>
      <c r="B61" s="104" t="s">
        <v>48</v>
      </c>
      <c r="C61" s="104" t="s">
        <v>465</v>
      </c>
      <c r="D61" s="104" t="s">
        <v>641</v>
      </c>
      <c r="E61" s="105" t="s">
        <v>627</v>
      </c>
      <c r="F61" s="79"/>
      <c r="G61" s="79"/>
      <c r="H61" s="79"/>
      <c r="I61" s="79"/>
    </row>
    <row r="62" spans="1:9" ht="15.75" x14ac:dyDescent="0.25">
      <c r="A62" s="101" t="s">
        <v>53</v>
      </c>
      <c r="B62" s="102" t="s">
        <v>54</v>
      </c>
      <c r="C62" s="102" t="s">
        <v>467</v>
      </c>
      <c r="D62" s="102" t="s">
        <v>642</v>
      </c>
      <c r="E62" s="102" t="s">
        <v>643</v>
      </c>
      <c r="F62" s="79"/>
      <c r="G62" s="79"/>
      <c r="H62" s="79"/>
      <c r="I62" s="79"/>
    </row>
    <row r="63" spans="1:9" ht="15.75" x14ac:dyDescent="0.25">
      <c r="A63" s="101" t="s">
        <v>56</v>
      </c>
      <c r="B63" s="104" t="s">
        <v>57</v>
      </c>
      <c r="C63" s="104" t="s">
        <v>467</v>
      </c>
      <c r="D63" s="104" t="s">
        <v>644</v>
      </c>
      <c r="E63" s="104" t="s">
        <v>645</v>
      </c>
      <c r="F63" s="79"/>
      <c r="G63" s="79"/>
      <c r="H63" s="79"/>
      <c r="I63" s="79"/>
    </row>
    <row r="64" spans="1:9" ht="15.75" x14ac:dyDescent="0.25">
      <c r="A64" s="101" t="s">
        <v>59</v>
      </c>
      <c r="B64" s="102" t="s">
        <v>60</v>
      </c>
      <c r="C64" s="102" t="s">
        <v>467</v>
      </c>
      <c r="D64" s="102" t="s">
        <v>646</v>
      </c>
      <c r="E64" s="102" t="s">
        <v>647</v>
      </c>
      <c r="F64" s="79"/>
      <c r="G64" s="79"/>
      <c r="H64" s="79"/>
      <c r="I64" s="79"/>
    </row>
    <row r="65" spans="1:9" ht="15.75" x14ac:dyDescent="0.25">
      <c r="A65" s="101" t="s">
        <v>62</v>
      </c>
      <c r="B65" s="104" t="s">
        <v>63</v>
      </c>
      <c r="C65" s="104" t="s">
        <v>465</v>
      </c>
      <c r="D65" s="104" t="s">
        <v>648</v>
      </c>
      <c r="E65" s="105" t="s">
        <v>627</v>
      </c>
      <c r="F65" s="79"/>
      <c r="G65" s="79"/>
      <c r="H65" s="79"/>
      <c r="I65" s="79"/>
    </row>
    <row r="66" spans="1:9" ht="15.75" x14ac:dyDescent="0.25">
      <c r="A66" s="101" t="s">
        <v>67</v>
      </c>
      <c r="B66" s="102" t="s">
        <v>68</v>
      </c>
      <c r="C66" s="102" t="s">
        <v>465</v>
      </c>
      <c r="D66" s="102" t="s">
        <v>649</v>
      </c>
      <c r="E66" s="103" t="s">
        <v>627</v>
      </c>
      <c r="F66" s="79"/>
      <c r="G66" s="79"/>
      <c r="H66" s="79"/>
      <c r="I66" s="79"/>
    </row>
    <row r="67" spans="1:9" ht="15.75" x14ac:dyDescent="0.25">
      <c r="A67" s="101" t="s">
        <v>70</v>
      </c>
      <c r="B67" s="104" t="s">
        <v>71</v>
      </c>
      <c r="C67" s="104" t="s">
        <v>465</v>
      </c>
      <c r="D67" s="104" t="s">
        <v>650</v>
      </c>
      <c r="E67" s="105" t="s">
        <v>627</v>
      </c>
      <c r="F67" s="79"/>
      <c r="G67" s="79"/>
      <c r="H67" s="79"/>
      <c r="I67" s="79"/>
    </row>
    <row r="68" spans="1:9" ht="15.75" x14ac:dyDescent="0.25">
      <c r="A68" s="101" t="s">
        <v>73</v>
      </c>
      <c r="B68" s="102" t="s">
        <v>74</v>
      </c>
      <c r="C68" s="102" t="s">
        <v>465</v>
      </c>
      <c r="D68" s="102" t="s">
        <v>651</v>
      </c>
      <c r="E68" s="103" t="s">
        <v>627</v>
      </c>
      <c r="F68" s="79"/>
      <c r="G68" s="79"/>
      <c r="H68" s="79"/>
      <c r="I68" s="79"/>
    </row>
    <row r="69" spans="1:9" ht="15.75" x14ac:dyDescent="0.25">
      <c r="A69" s="101" t="s">
        <v>76</v>
      </c>
      <c r="B69" s="104" t="s">
        <v>77</v>
      </c>
      <c r="C69" s="104" t="s">
        <v>465</v>
      </c>
      <c r="D69" s="104" t="s">
        <v>652</v>
      </c>
      <c r="E69" s="105" t="s">
        <v>627</v>
      </c>
      <c r="F69" s="79"/>
      <c r="G69" s="79"/>
      <c r="H69" s="79"/>
      <c r="I69" s="79"/>
    </row>
    <row r="70" spans="1:9" ht="15.75" x14ac:dyDescent="0.25">
      <c r="A70" s="101" t="s">
        <v>82</v>
      </c>
      <c r="B70" s="102" t="s">
        <v>83</v>
      </c>
      <c r="C70" s="102" t="s">
        <v>465</v>
      </c>
      <c r="D70" s="102" t="s">
        <v>653</v>
      </c>
      <c r="E70" s="103" t="s">
        <v>627</v>
      </c>
      <c r="F70" s="79"/>
      <c r="G70" s="79"/>
      <c r="H70" s="79"/>
      <c r="I70" s="79"/>
    </row>
    <row r="71" spans="1:9" ht="15.75" x14ac:dyDescent="0.25">
      <c r="A71" s="101" t="s">
        <v>85</v>
      </c>
      <c r="B71" s="104" t="s">
        <v>654</v>
      </c>
      <c r="C71" s="104" t="s">
        <v>466</v>
      </c>
      <c r="D71" s="104" t="s">
        <v>655</v>
      </c>
      <c r="E71" s="105" t="s">
        <v>627</v>
      </c>
      <c r="F71" s="79"/>
      <c r="G71" s="79"/>
      <c r="H71" s="79"/>
      <c r="I71" s="79"/>
    </row>
    <row r="72" spans="1:9" ht="15.75" x14ac:dyDescent="0.25">
      <c r="A72" s="101" t="s">
        <v>87</v>
      </c>
      <c r="B72" s="102" t="s">
        <v>88</v>
      </c>
      <c r="C72" s="102" t="s">
        <v>465</v>
      </c>
      <c r="D72" s="102" t="s">
        <v>656</v>
      </c>
      <c r="E72" s="102" t="s">
        <v>657</v>
      </c>
      <c r="F72" s="79"/>
      <c r="G72" s="79"/>
      <c r="H72" s="79"/>
      <c r="I72" s="79"/>
    </row>
    <row r="73" spans="1:9" ht="15.75" x14ac:dyDescent="0.25">
      <c r="A73" s="101" t="s">
        <v>90</v>
      </c>
      <c r="B73" s="104" t="s">
        <v>504</v>
      </c>
      <c r="C73" s="104" t="s">
        <v>466</v>
      </c>
      <c r="D73" s="104" t="s">
        <v>658</v>
      </c>
      <c r="E73" s="105" t="s">
        <v>627</v>
      </c>
      <c r="F73" s="79"/>
      <c r="G73" s="79"/>
      <c r="H73" s="79"/>
      <c r="I73" s="79"/>
    </row>
    <row r="74" spans="1:9" ht="15.75" x14ac:dyDescent="0.25">
      <c r="A74" s="101" t="s">
        <v>94</v>
      </c>
      <c r="B74" s="102" t="s">
        <v>95</v>
      </c>
      <c r="C74" s="102" t="s">
        <v>466</v>
      </c>
      <c r="D74" s="102" t="s">
        <v>659</v>
      </c>
      <c r="E74" s="103" t="s">
        <v>627</v>
      </c>
      <c r="F74" s="79"/>
      <c r="G74" s="79"/>
      <c r="H74" s="79"/>
      <c r="I74" s="79"/>
    </row>
    <row r="75" spans="1:9" ht="15.75" x14ac:dyDescent="0.25">
      <c r="A75" s="101" t="s">
        <v>97</v>
      </c>
      <c r="B75" s="104" t="s">
        <v>98</v>
      </c>
      <c r="C75" s="104" t="s">
        <v>466</v>
      </c>
      <c r="D75" s="104" t="s">
        <v>660</v>
      </c>
      <c r="E75" s="104" t="s">
        <v>661</v>
      </c>
      <c r="F75" s="79"/>
      <c r="G75" s="79"/>
      <c r="H75" s="79"/>
      <c r="I75" s="79"/>
    </row>
    <row r="76" spans="1:9" ht="15.75" x14ac:dyDescent="0.25">
      <c r="A76" s="101" t="s">
        <v>100</v>
      </c>
      <c r="B76" s="102" t="s">
        <v>101</v>
      </c>
      <c r="C76" s="102" t="s">
        <v>467</v>
      </c>
      <c r="D76" s="102" t="s">
        <v>662</v>
      </c>
      <c r="E76" s="103" t="s">
        <v>627</v>
      </c>
      <c r="F76" s="79"/>
      <c r="G76" s="79"/>
      <c r="H76" s="79"/>
      <c r="I76" s="79"/>
    </row>
    <row r="77" spans="1:9" ht="15.75" x14ac:dyDescent="0.25">
      <c r="A77" s="101" t="s">
        <v>103</v>
      </c>
      <c r="B77" s="104" t="s">
        <v>104</v>
      </c>
      <c r="C77" s="104" t="s">
        <v>465</v>
      </c>
      <c r="D77" s="104" t="s">
        <v>663</v>
      </c>
      <c r="E77" s="105" t="s">
        <v>627</v>
      </c>
      <c r="F77" s="79"/>
      <c r="G77" s="79"/>
      <c r="H77" s="79"/>
      <c r="I77" s="79"/>
    </row>
    <row r="78" spans="1:9" ht="15.75" x14ac:dyDescent="0.25">
      <c r="A78" s="101" t="s">
        <v>108</v>
      </c>
      <c r="B78" s="102" t="s">
        <v>109</v>
      </c>
      <c r="C78" s="102" t="s">
        <v>465</v>
      </c>
      <c r="D78" s="102" t="s">
        <v>664</v>
      </c>
      <c r="E78" s="103" t="s">
        <v>627</v>
      </c>
      <c r="F78" s="79"/>
      <c r="G78" s="79"/>
      <c r="H78" s="79"/>
      <c r="I78" s="79"/>
    </row>
    <row r="79" spans="1:9" ht="15.75" x14ac:dyDescent="0.25">
      <c r="A79" s="101" t="s">
        <v>111</v>
      </c>
      <c r="B79" s="104" t="s">
        <v>112</v>
      </c>
      <c r="C79" s="104" t="s">
        <v>465</v>
      </c>
      <c r="D79" s="104" t="s">
        <v>665</v>
      </c>
      <c r="E79" s="105" t="s">
        <v>627</v>
      </c>
      <c r="F79" s="79"/>
      <c r="G79" s="79"/>
      <c r="H79" s="79"/>
      <c r="I79" s="79"/>
    </row>
    <row r="80" spans="1:9" ht="15.75" x14ac:dyDescent="0.25">
      <c r="A80" s="101" t="s">
        <v>114</v>
      </c>
      <c r="B80" s="102" t="s">
        <v>115</v>
      </c>
      <c r="C80" s="102" t="s">
        <v>465</v>
      </c>
      <c r="D80" s="102" t="s">
        <v>666</v>
      </c>
      <c r="E80" s="103" t="s">
        <v>627</v>
      </c>
      <c r="F80" s="79"/>
      <c r="G80" s="79"/>
      <c r="H80" s="79"/>
      <c r="I80" s="79"/>
    </row>
    <row r="81" spans="1:9" ht="15.75" x14ac:dyDescent="0.25">
      <c r="A81" s="101" t="s">
        <v>117</v>
      </c>
      <c r="B81" s="104" t="s">
        <v>118</v>
      </c>
      <c r="C81" s="104" t="s">
        <v>465</v>
      </c>
      <c r="D81" s="104" t="s">
        <v>667</v>
      </c>
      <c r="E81" s="105" t="s">
        <v>627</v>
      </c>
      <c r="F81" s="79"/>
      <c r="G81" s="79"/>
      <c r="H81" s="79"/>
      <c r="I81" s="79"/>
    </row>
    <row r="82" spans="1:9" ht="15.75" x14ac:dyDescent="0.25">
      <c r="A82" s="101" t="s">
        <v>123</v>
      </c>
      <c r="B82" s="102" t="s">
        <v>124</v>
      </c>
      <c r="C82" s="102" t="s">
        <v>465</v>
      </c>
      <c r="D82" s="102" t="s">
        <v>668</v>
      </c>
      <c r="E82" s="103" t="s">
        <v>627</v>
      </c>
      <c r="F82" s="79"/>
      <c r="G82" s="79"/>
      <c r="H82" s="79"/>
      <c r="I82" s="79"/>
    </row>
    <row r="83" spans="1:9" ht="15.75" x14ac:dyDescent="0.25">
      <c r="A83" s="101" t="s">
        <v>126</v>
      </c>
      <c r="B83" s="104" t="s">
        <v>127</v>
      </c>
      <c r="C83" s="104" t="s">
        <v>465</v>
      </c>
      <c r="D83" s="104" t="s">
        <v>669</v>
      </c>
      <c r="E83" s="105" t="s">
        <v>627</v>
      </c>
      <c r="F83" s="79"/>
      <c r="G83" s="79"/>
      <c r="H83" s="79"/>
      <c r="I83" s="79"/>
    </row>
    <row r="84" spans="1:9" ht="15.75" x14ac:dyDescent="0.25">
      <c r="A84" s="101" t="s">
        <v>129</v>
      </c>
      <c r="B84" s="102" t="s">
        <v>130</v>
      </c>
      <c r="C84" s="102" t="s">
        <v>465</v>
      </c>
      <c r="D84" s="102" t="s">
        <v>670</v>
      </c>
      <c r="E84" s="102" t="s">
        <v>671</v>
      </c>
      <c r="F84" s="79"/>
      <c r="G84" s="79"/>
      <c r="H84" s="79"/>
      <c r="I84" s="79"/>
    </row>
    <row r="85" spans="1:9" ht="15.75" x14ac:dyDescent="0.25">
      <c r="A85" s="101" t="s">
        <v>132</v>
      </c>
      <c r="B85" s="104" t="s">
        <v>133</v>
      </c>
      <c r="C85" s="104" t="s">
        <v>465</v>
      </c>
      <c r="D85" s="104" t="s">
        <v>672</v>
      </c>
      <c r="E85" s="105" t="s">
        <v>627</v>
      </c>
      <c r="F85" s="79"/>
      <c r="G85" s="79"/>
      <c r="H85" s="79"/>
      <c r="I85" s="79"/>
    </row>
    <row r="86" spans="1:9" ht="15.75" x14ac:dyDescent="0.25">
      <c r="A86" s="101" t="s">
        <v>137</v>
      </c>
      <c r="B86" s="102" t="s">
        <v>138</v>
      </c>
      <c r="C86" s="102" t="s">
        <v>465</v>
      </c>
      <c r="D86" s="102" t="s">
        <v>673</v>
      </c>
      <c r="E86" s="102" t="s">
        <v>674</v>
      </c>
      <c r="F86" s="79"/>
      <c r="G86" s="79"/>
      <c r="H86" s="79"/>
      <c r="I86" s="79"/>
    </row>
    <row r="87" spans="1:9" ht="15.75" x14ac:dyDescent="0.25">
      <c r="A87" s="101" t="s">
        <v>140</v>
      </c>
      <c r="B87" s="104" t="s">
        <v>141</v>
      </c>
      <c r="C87" s="104" t="s">
        <v>465</v>
      </c>
      <c r="D87" s="104" t="s">
        <v>675</v>
      </c>
      <c r="E87" s="104" t="s">
        <v>676</v>
      </c>
      <c r="F87" s="79"/>
      <c r="G87" s="79"/>
      <c r="H87" s="79"/>
      <c r="I87" s="79"/>
    </row>
    <row r="88" spans="1:9" ht="15.75" x14ac:dyDescent="0.25">
      <c r="A88" s="101" t="s">
        <v>143</v>
      </c>
      <c r="B88" s="102" t="s">
        <v>144</v>
      </c>
      <c r="C88" s="102" t="s">
        <v>465</v>
      </c>
      <c r="D88" s="102" t="s">
        <v>677</v>
      </c>
      <c r="E88" s="102" t="s">
        <v>678</v>
      </c>
      <c r="F88" s="79"/>
      <c r="G88" s="79"/>
      <c r="H88" s="79"/>
      <c r="I88" s="79"/>
    </row>
    <row r="89" spans="1:9" ht="15.75" x14ac:dyDescent="0.25">
      <c r="A89" s="101" t="s">
        <v>146</v>
      </c>
      <c r="B89" s="104" t="s">
        <v>147</v>
      </c>
      <c r="C89" s="104" t="s">
        <v>465</v>
      </c>
      <c r="D89" s="104" t="s">
        <v>679</v>
      </c>
      <c r="E89" s="104" t="s">
        <v>680</v>
      </c>
      <c r="F89" s="79"/>
      <c r="G89" s="79"/>
      <c r="H89" s="79"/>
      <c r="I89" s="79"/>
    </row>
    <row r="90" spans="1:9" ht="15.75" x14ac:dyDescent="0.25">
      <c r="A90" s="101" t="s">
        <v>151</v>
      </c>
      <c r="B90" s="102" t="s">
        <v>152</v>
      </c>
      <c r="C90" s="102" t="s">
        <v>465</v>
      </c>
      <c r="D90" s="102" t="s">
        <v>681</v>
      </c>
      <c r="E90" s="102" t="s">
        <v>682</v>
      </c>
      <c r="F90" s="79"/>
      <c r="G90" s="79"/>
      <c r="H90" s="79"/>
      <c r="I90" s="79"/>
    </row>
    <row r="91" spans="1:9" ht="15.75" x14ac:dyDescent="0.25">
      <c r="A91" s="101" t="s">
        <v>154</v>
      </c>
      <c r="B91" s="104" t="s">
        <v>155</v>
      </c>
      <c r="C91" s="104" t="s">
        <v>466</v>
      </c>
      <c r="D91" s="104" t="s">
        <v>683</v>
      </c>
      <c r="E91" s="104" t="s">
        <v>682</v>
      </c>
      <c r="F91" s="79"/>
      <c r="G91" s="79"/>
      <c r="H91" s="79"/>
      <c r="I91" s="79"/>
    </row>
    <row r="92" spans="1:9" ht="15.75" x14ac:dyDescent="0.25">
      <c r="A92" s="101" t="s">
        <v>157</v>
      </c>
      <c r="B92" s="102" t="s">
        <v>158</v>
      </c>
      <c r="C92" s="102" t="s">
        <v>465</v>
      </c>
      <c r="D92" s="102" t="s">
        <v>684</v>
      </c>
      <c r="E92" s="102" t="s">
        <v>682</v>
      </c>
      <c r="F92" s="79"/>
      <c r="G92" s="79"/>
      <c r="H92" s="79"/>
      <c r="I92" s="79"/>
    </row>
    <row r="93" spans="1:9" ht="15.75" x14ac:dyDescent="0.25">
      <c r="A93" s="101" t="s">
        <v>160</v>
      </c>
      <c r="B93" s="104" t="s">
        <v>161</v>
      </c>
      <c r="C93" s="104" t="s">
        <v>465</v>
      </c>
      <c r="D93" s="104" t="s">
        <v>685</v>
      </c>
      <c r="E93" s="104" t="s">
        <v>686</v>
      </c>
      <c r="F93" s="79"/>
      <c r="G93" s="79"/>
      <c r="H93" s="79"/>
      <c r="I93" s="79"/>
    </row>
    <row r="94" spans="1:9" ht="15.75" x14ac:dyDescent="0.25">
      <c r="A94" s="101" t="s">
        <v>165</v>
      </c>
      <c r="B94" s="102" t="s">
        <v>166</v>
      </c>
      <c r="C94" s="102" t="s">
        <v>467</v>
      </c>
      <c r="D94" s="102" t="s">
        <v>687</v>
      </c>
      <c r="E94" s="103" t="s">
        <v>627</v>
      </c>
      <c r="F94" s="79"/>
      <c r="G94" s="79"/>
      <c r="H94" s="79"/>
      <c r="I94" s="79"/>
    </row>
    <row r="95" spans="1:9" ht="15.75" x14ac:dyDescent="0.25">
      <c r="A95" s="101" t="s">
        <v>168</v>
      </c>
      <c r="B95" s="104" t="s">
        <v>169</v>
      </c>
      <c r="C95" s="104" t="s">
        <v>465</v>
      </c>
      <c r="D95" s="104" t="s">
        <v>688</v>
      </c>
      <c r="E95" s="104" t="s">
        <v>689</v>
      </c>
      <c r="F95" s="79"/>
      <c r="G95" s="79"/>
      <c r="H95" s="79"/>
      <c r="I95" s="79"/>
    </row>
    <row r="96" spans="1:9" ht="15.75" x14ac:dyDescent="0.25">
      <c r="A96" s="101" t="s">
        <v>171</v>
      </c>
      <c r="B96" s="102" t="s">
        <v>172</v>
      </c>
      <c r="C96" s="102" t="s">
        <v>465</v>
      </c>
      <c r="D96" s="102" t="s">
        <v>690</v>
      </c>
      <c r="E96" s="103" t="s">
        <v>627</v>
      </c>
      <c r="F96" s="79"/>
      <c r="G96" s="79"/>
      <c r="H96" s="79"/>
      <c r="I96" s="79"/>
    </row>
    <row r="97" spans="1:9" ht="15.75" x14ac:dyDescent="0.25">
      <c r="A97" s="101" t="s">
        <v>174</v>
      </c>
      <c r="B97" s="104" t="s">
        <v>175</v>
      </c>
      <c r="C97" s="104" t="s">
        <v>465</v>
      </c>
      <c r="D97" s="104" t="s">
        <v>691</v>
      </c>
      <c r="E97" s="105" t="s">
        <v>627</v>
      </c>
      <c r="F97" s="79"/>
      <c r="G97" s="79"/>
      <c r="H97" s="79"/>
      <c r="I97" s="79"/>
    </row>
    <row r="98" spans="1:9" ht="15.75" x14ac:dyDescent="0.25">
      <c r="A98" s="101" t="s">
        <v>179</v>
      </c>
      <c r="B98" s="102" t="s">
        <v>180</v>
      </c>
      <c r="C98" s="102" t="s">
        <v>465</v>
      </c>
      <c r="D98" s="102" t="s">
        <v>692</v>
      </c>
      <c r="E98" s="103" t="s">
        <v>627</v>
      </c>
      <c r="F98" s="79"/>
      <c r="G98" s="79"/>
      <c r="H98" s="79"/>
      <c r="I98" s="79"/>
    </row>
    <row r="99" spans="1:9" ht="15.75" x14ac:dyDescent="0.25">
      <c r="A99" s="101" t="s">
        <v>182</v>
      </c>
      <c r="B99" s="104" t="s">
        <v>183</v>
      </c>
      <c r="C99" s="104" t="s">
        <v>465</v>
      </c>
      <c r="D99" s="104" t="s">
        <v>693</v>
      </c>
      <c r="E99" s="105" t="s">
        <v>627</v>
      </c>
      <c r="F99" s="79"/>
      <c r="G99" s="79"/>
      <c r="H99" s="79"/>
      <c r="I99" s="79"/>
    </row>
    <row r="100" spans="1:9" ht="15.75" x14ac:dyDescent="0.25">
      <c r="A100" s="101" t="s">
        <v>185</v>
      </c>
      <c r="B100" s="102" t="s">
        <v>186</v>
      </c>
      <c r="C100" s="102" t="s">
        <v>465</v>
      </c>
      <c r="D100" s="102" t="s">
        <v>694</v>
      </c>
      <c r="E100" s="103" t="s">
        <v>627</v>
      </c>
      <c r="F100" s="79"/>
      <c r="G100" s="79"/>
      <c r="H100" s="79"/>
      <c r="I100" s="79"/>
    </row>
    <row r="101" spans="1:9" ht="15.75" x14ac:dyDescent="0.25">
      <c r="A101" s="101" t="s">
        <v>188</v>
      </c>
      <c r="B101" s="104" t="s">
        <v>189</v>
      </c>
      <c r="C101" s="104" t="s">
        <v>465</v>
      </c>
      <c r="D101" s="104" t="s">
        <v>695</v>
      </c>
      <c r="E101" s="105" t="s">
        <v>627</v>
      </c>
      <c r="F101" s="79"/>
      <c r="G101" s="79"/>
      <c r="H101" s="79"/>
      <c r="I101" s="79"/>
    </row>
    <row r="102" spans="1:9" ht="15.75" x14ac:dyDescent="0.25">
      <c r="A102" s="101" t="s">
        <v>193</v>
      </c>
      <c r="B102" s="102" t="s">
        <v>194</v>
      </c>
      <c r="C102" s="102" t="s">
        <v>465</v>
      </c>
      <c r="D102" s="102" t="s">
        <v>696</v>
      </c>
      <c r="E102" s="102" t="s">
        <v>697</v>
      </c>
      <c r="F102" s="79"/>
      <c r="G102" s="79"/>
      <c r="H102" s="79"/>
      <c r="I102" s="79"/>
    </row>
    <row r="103" spans="1:9" ht="15.75" x14ac:dyDescent="0.25">
      <c r="A103" s="101" t="s">
        <v>196</v>
      </c>
      <c r="B103" s="104" t="s">
        <v>197</v>
      </c>
      <c r="C103" s="104" t="s">
        <v>465</v>
      </c>
      <c r="D103" s="104" t="s">
        <v>698</v>
      </c>
      <c r="E103" s="104" t="s">
        <v>697</v>
      </c>
      <c r="F103" s="79"/>
      <c r="G103" s="79"/>
      <c r="H103" s="79"/>
      <c r="I103" s="79"/>
    </row>
    <row r="104" spans="1:9" ht="15.75" x14ac:dyDescent="0.25">
      <c r="A104" s="101" t="s">
        <v>199</v>
      </c>
      <c r="B104" s="102" t="s">
        <v>200</v>
      </c>
      <c r="C104" s="102" t="s">
        <v>465</v>
      </c>
      <c r="D104" s="102" t="s">
        <v>699</v>
      </c>
      <c r="E104" s="102" t="s">
        <v>697</v>
      </c>
      <c r="F104" s="79"/>
      <c r="G104" s="79"/>
      <c r="H104" s="79"/>
      <c r="I104" s="79"/>
    </row>
    <row r="105" spans="1:9" ht="15.75" x14ac:dyDescent="0.25">
      <c r="A105" s="101" t="s">
        <v>202</v>
      </c>
      <c r="B105" s="104" t="s">
        <v>203</v>
      </c>
      <c r="C105" s="104" t="s">
        <v>465</v>
      </c>
      <c r="D105" s="104" t="s">
        <v>700</v>
      </c>
      <c r="E105" s="104" t="s">
        <v>697</v>
      </c>
      <c r="F105" s="79"/>
      <c r="G105" s="79"/>
      <c r="H105" s="79"/>
      <c r="I105" s="79"/>
    </row>
    <row r="106" spans="1:9" ht="15.75" x14ac:dyDescent="0.25">
      <c r="A106" s="101" t="s">
        <v>207</v>
      </c>
      <c r="B106" s="102" t="s">
        <v>208</v>
      </c>
      <c r="C106" s="102" t="s">
        <v>465</v>
      </c>
      <c r="D106" s="102" t="s">
        <v>701</v>
      </c>
      <c r="E106" s="102" t="s">
        <v>697</v>
      </c>
      <c r="F106" s="79"/>
      <c r="G106" s="79"/>
      <c r="H106" s="79"/>
      <c r="I106" s="79"/>
    </row>
    <row r="107" spans="1:9" ht="15.75" x14ac:dyDescent="0.25">
      <c r="A107" s="101" t="s">
        <v>210</v>
      </c>
      <c r="B107" s="104" t="s">
        <v>211</v>
      </c>
      <c r="C107" s="104" t="s">
        <v>465</v>
      </c>
      <c r="D107" s="104" t="s">
        <v>702</v>
      </c>
      <c r="E107" s="104" t="s">
        <v>697</v>
      </c>
      <c r="F107" s="79"/>
      <c r="G107" s="79"/>
      <c r="H107" s="79"/>
      <c r="I107" s="79"/>
    </row>
    <row r="108" spans="1:9" ht="15.75" x14ac:dyDescent="0.25">
      <c r="A108" s="101" t="s">
        <v>213</v>
      </c>
      <c r="B108" s="102" t="s">
        <v>214</v>
      </c>
      <c r="C108" s="102" t="s">
        <v>465</v>
      </c>
      <c r="D108" s="102" t="s">
        <v>703</v>
      </c>
      <c r="E108" s="102" t="s">
        <v>704</v>
      </c>
      <c r="F108" s="79"/>
      <c r="G108" s="79"/>
      <c r="H108" s="79"/>
      <c r="I108" s="79"/>
    </row>
    <row r="109" spans="1:9" ht="15.75" x14ac:dyDescent="0.25">
      <c r="A109" s="101" t="s">
        <v>216</v>
      </c>
      <c r="B109" s="104" t="s">
        <v>217</v>
      </c>
      <c r="C109" s="104" t="s">
        <v>465</v>
      </c>
      <c r="D109" s="104" t="s">
        <v>705</v>
      </c>
      <c r="E109" s="104" t="s">
        <v>697</v>
      </c>
      <c r="F109" s="79"/>
      <c r="G109" s="79"/>
      <c r="H109" s="79"/>
      <c r="I109" s="79"/>
    </row>
    <row r="110" spans="1:9" ht="15.75" x14ac:dyDescent="0.25">
      <c r="A110" s="101" t="s">
        <v>221</v>
      </c>
      <c r="B110" s="102" t="s">
        <v>222</v>
      </c>
      <c r="C110" s="102" t="s">
        <v>465</v>
      </c>
      <c r="D110" s="102" t="s">
        <v>705</v>
      </c>
      <c r="E110" s="103" t="s">
        <v>627</v>
      </c>
      <c r="F110" s="79"/>
      <c r="G110" s="79"/>
      <c r="H110" s="79"/>
      <c r="I110" s="79"/>
    </row>
    <row r="111" spans="1:9" ht="15.75" x14ac:dyDescent="0.25">
      <c r="A111" s="101" t="s">
        <v>224</v>
      </c>
      <c r="B111" s="104" t="s">
        <v>225</v>
      </c>
      <c r="C111" s="104" t="s">
        <v>465</v>
      </c>
      <c r="D111" s="104" t="s">
        <v>706</v>
      </c>
      <c r="E111" s="104" t="s">
        <v>707</v>
      </c>
      <c r="F111" s="79"/>
      <c r="G111" s="79"/>
      <c r="H111" s="79"/>
      <c r="I111" s="79"/>
    </row>
    <row r="112" spans="1:9" ht="15.75" x14ac:dyDescent="0.25">
      <c r="A112" s="101" t="s">
        <v>227</v>
      </c>
      <c r="B112" s="102" t="s">
        <v>228</v>
      </c>
      <c r="C112" s="102" t="s">
        <v>465</v>
      </c>
      <c r="D112" s="102" t="s">
        <v>708</v>
      </c>
      <c r="E112" s="103" t="s">
        <v>627</v>
      </c>
      <c r="F112" s="79"/>
      <c r="G112" s="79"/>
      <c r="H112" s="79"/>
      <c r="I112" s="79"/>
    </row>
    <row r="113" spans="1:9" ht="15.75" x14ac:dyDescent="0.25">
      <c r="A113" s="101" t="s">
        <v>230</v>
      </c>
      <c r="B113" s="104" t="s">
        <v>231</v>
      </c>
      <c r="C113" s="104" t="s">
        <v>465</v>
      </c>
      <c r="D113" s="104" t="s">
        <v>709</v>
      </c>
      <c r="E113" s="105" t="s">
        <v>627</v>
      </c>
      <c r="F113" s="79"/>
      <c r="G113" s="79"/>
      <c r="H113" s="79"/>
      <c r="I113" s="79"/>
    </row>
    <row r="114" spans="1:9" ht="15.75" x14ac:dyDescent="0.25">
      <c r="A114" s="101" t="s">
        <v>235</v>
      </c>
      <c r="B114" s="102" t="s">
        <v>236</v>
      </c>
      <c r="C114" s="102" t="s">
        <v>465</v>
      </c>
      <c r="D114" s="102" t="s">
        <v>710</v>
      </c>
      <c r="E114" s="102" t="s">
        <v>711</v>
      </c>
      <c r="F114" s="79"/>
      <c r="G114" s="79"/>
      <c r="H114" s="79"/>
      <c r="I114" s="79"/>
    </row>
    <row r="115" spans="1:9" ht="15.75" x14ac:dyDescent="0.25">
      <c r="A115" s="101" t="s">
        <v>238</v>
      </c>
      <c r="B115" s="104" t="s">
        <v>239</v>
      </c>
      <c r="C115" s="104" t="s">
        <v>465</v>
      </c>
      <c r="D115" s="104" t="s">
        <v>712</v>
      </c>
      <c r="E115" s="104" t="s">
        <v>713</v>
      </c>
      <c r="F115" s="79"/>
      <c r="G115" s="79"/>
      <c r="H115" s="79"/>
      <c r="I115" s="79"/>
    </row>
    <row r="116" spans="1:9" ht="15.75" x14ac:dyDescent="0.25">
      <c r="A116" s="101" t="s">
        <v>241</v>
      </c>
      <c r="B116" s="102" t="s">
        <v>505</v>
      </c>
      <c r="C116" s="102" t="s">
        <v>466</v>
      </c>
      <c r="D116" s="102" t="s">
        <v>714</v>
      </c>
      <c r="E116" s="102" t="s">
        <v>711</v>
      </c>
      <c r="F116" s="79"/>
      <c r="G116" s="79"/>
      <c r="H116" s="79"/>
      <c r="I116" s="79"/>
    </row>
    <row r="117" spans="1:9" ht="15.75" x14ac:dyDescent="0.25">
      <c r="A117" s="101" t="s">
        <v>243</v>
      </c>
      <c r="B117" s="104" t="s">
        <v>244</v>
      </c>
      <c r="C117" s="104" t="s">
        <v>465</v>
      </c>
      <c r="D117" s="104" t="s">
        <v>715</v>
      </c>
      <c r="E117" s="104" t="s">
        <v>713</v>
      </c>
      <c r="F117" s="79"/>
      <c r="G117" s="79"/>
      <c r="H117" s="79"/>
      <c r="I117" s="79"/>
    </row>
    <row r="118" spans="1:9" ht="15.75" x14ac:dyDescent="0.25">
      <c r="A118" s="101" t="s">
        <v>249</v>
      </c>
      <c r="B118" s="102" t="s">
        <v>250</v>
      </c>
      <c r="C118" s="102" t="s">
        <v>465</v>
      </c>
      <c r="D118" s="102" t="s">
        <v>716</v>
      </c>
      <c r="E118" s="103" t="s">
        <v>627</v>
      </c>
      <c r="F118" s="79"/>
      <c r="G118" s="79"/>
      <c r="H118" s="79"/>
      <c r="I118" s="79"/>
    </row>
    <row r="119" spans="1:9" ht="15.75" x14ac:dyDescent="0.25">
      <c r="A119" s="101" t="s">
        <v>252</v>
      </c>
      <c r="B119" s="104" t="s">
        <v>253</v>
      </c>
      <c r="C119" s="104" t="s">
        <v>465</v>
      </c>
      <c r="D119" s="104" t="s">
        <v>717</v>
      </c>
      <c r="E119" s="105" t="s">
        <v>627</v>
      </c>
      <c r="F119" s="79"/>
      <c r="G119" s="79"/>
      <c r="H119" s="79"/>
      <c r="I119" s="79"/>
    </row>
    <row r="120" spans="1:9" ht="15.75" x14ac:dyDescent="0.25">
      <c r="A120" s="101" t="s">
        <v>255</v>
      </c>
      <c r="B120" s="102" t="s">
        <v>256</v>
      </c>
      <c r="C120" s="102" t="s">
        <v>465</v>
      </c>
      <c r="D120" s="102" t="s">
        <v>718</v>
      </c>
      <c r="E120" s="103" t="s">
        <v>627</v>
      </c>
      <c r="F120" s="79"/>
      <c r="G120" s="79"/>
      <c r="H120" s="79"/>
      <c r="I120" s="79"/>
    </row>
    <row r="121" spans="1:9" ht="15.75" x14ac:dyDescent="0.25">
      <c r="A121" s="101" t="s">
        <v>258</v>
      </c>
      <c r="B121" s="104" t="s">
        <v>496</v>
      </c>
      <c r="C121" s="104" t="s">
        <v>466</v>
      </c>
      <c r="D121" s="104" t="s">
        <v>719</v>
      </c>
      <c r="E121" s="105" t="s">
        <v>627</v>
      </c>
      <c r="F121" s="79"/>
      <c r="G121" s="79"/>
      <c r="H121" s="79"/>
      <c r="I121" s="79"/>
    </row>
    <row r="122" spans="1:9" ht="15.75" x14ac:dyDescent="0.25">
      <c r="A122" s="101" t="s">
        <v>262</v>
      </c>
      <c r="B122" s="102" t="s">
        <v>263</v>
      </c>
      <c r="C122" s="102" t="s">
        <v>465</v>
      </c>
      <c r="D122" s="102" t="s">
        <v>720</v>
      </c>
      <c r="E122" s="102" t="s">
        <v>721</v>
      </c>
      <c r="F122" s="79"/>
      <c r="G122" s="79"/>
      <c r="H122" s="79"/>
      <c r="I122" s="79"/>
    </row>
    <row r="123" spans="1:9" ht="15.75" x14ac:dyDescent="0.25">
      <c r="A123" s="101" t="s">
        <v>265</v>
      </c>
      <c r="B123" s="104" t="s">
        <v>266</v>
      </c>
      <c r="C123" s="104" t="s">
        <v>465</v>
      </c>
      <c r="D123" s="104" t="s">
        <v>722</v>
      </c>
      <c r="E123" s="104" t="s">
        <v>721</v>
      </c>
      <c r="F123" s="79"/>
      <c r="G123" s="79"/>
      <c r="H123" s="79"/>
      <c r="I123" s="79"/>
    </row>
    <row r="124" spans="1:9" ht="15.75" x14ac:dyDescent="0.25">
      <c r="A124" s="101" t="s">
        <v>268</v>
      </c>
      <c r="B124" s="102" t="s">
        <v>269</v>
      </c>
      <c r="C124" s="102" t="s">
        <v>465</v>
      </c>
      <c r="D124" s="102" t="s">
        <v>723</v>
      </c>
      <c r="E124" s="103" t="s">
        <v>627</v>
      </c>
      <c r="F124" s="79"/>
      <c r="G124" s="79"/>
      <c r="H124" s="79"/>
      <c r="I124" s="79"/>
    </row>
    <row r="125" spans="1:9" ht="15.75" x14ac:dyDescent="0.25">
      <c r="A125" s="101" t="s">
        <v>271</v>
      </c>
      <c r="B125" s="104" t="s">
        <v>272</v>
      </c>
      <c r="C125" s="104" t="s">
        <v>465</v>
      </c>
      <c r="D125" s="104" t="s">
        <v>724</v>
      </c>
      <c r="E125" s="105" t="s">
        <v>627</v>
      </c>
      <c r="F125" s="79"/>
      <c r="G125" s="79"/>
      <c r="H125" s="79"/>
      <c r="I125" s="79"/>
    </row>
    <row r="126" spans="1:9" ht="15.75" x14ac:dyDescent="0.25">
      <c r="A126" s="101" t="s">
        <v>276</v>
      </c>
      <c r="B126" s="102" t="s">
        <v>277</v>
      </c>
      <c r="C126" s="102" t="s">
        <v>465</v>
      </c>
      <c r="D126" s="102" t="s">
        <v>725</v>
      </c>
      <c r="E126" s="102" t="s">
        <v>726</v>
      </c>
      <c r="F126" s="79"/>
      <c r="G126" s="79"/>
      <c r="H126" s="79"/>
      <c r="I126" s="79"/>
    </row>
    <row r="127" spans="1:9" ht="15.75" x14ac:dyDescent="0.25">
      <c r="A127" s="101" t="s">
        <v>279</v>
      </c>
      <c r="B127" s="104" t="s">
        <v>280</v>
      </c>
      <c r="C127" s="104" t="s">
        <v>465</v>
      </c>
      <c r="D127" s="104" t="s">
        <v>727</v>
      </c>
      <c r="E127" s="104" t="s">
        <v>726</v>
      </c>
      <c r="F127" s="79"/>
      <c r="G127" s="79"/>
      <c r="H127" s="79"/>
      <c r="I127" s="79"/>
    </row>
    <row r="128" spans="1:9" ht="15.75" x14ac:dyDescent="0.25">
      <c r="A128" s="101" t="s">
        <v>282</v>
      </c>
      <c r="B128" s="102" t="s">
        <v>283</v>
      </c>
      <c r="C128" s="102" t="s">
        <v>465</v>
      </c>
      <c r="D128" s="102" t="s">
        <v>728</v>
      </c>
      <c r="E128" s="103" t="s">
        <v>627</v>
      </c>
      <c r="F128" s="79"/>
      <c r="G128" s="79"/>
      <c r="H128" s="79"/>
      <c r="I128" s="79"/>
    </row>
    <row r="129" spans="1:9" ht="15.75" x14ac:dyDescent="0.25">
      <c r="A129" s="101" t="s">
        <v>285</v>
      </c>
      <c r="B129" s="104" t="s">
        <v>286</v>
      </c>
      <c r="C129" s="104" t="s">
        <v>465</v>
      </c>
      <c r="D129" s="104" t="s">
        <v>729</v>
      </c>
      <c r="E129" s="104" t="s">
        <v>730</v>
      </c>
      <c r="F129" s="79"/>
      <c r="G129" s="79"/>
      <c r="H129" s="79"/>
      <c r="I129" s="79"/>
    </row>
    <row r="130" spans="1:9" ht="15.75" x14ac:dyDescent="0.25">
      <c r="A130" s="101" t="s">
        <v>290</v>
      </c>
      <c r="B130" s="102" t="s">
        <v>291</v>
      </c>
      <c r="C130" s="102" t="s">
        <v>465</v>
      </c>
      <c r="D130" s="102" t="s">
        <v>731</v>
      </c>
      <c r="E130" s="102" t="s">
        <v>732</v>
      </c>
      <c r="F130" s="79"/>
      <c r="G130" s="79"/>
      <c r="H130" s="79"/>
      <c r="I130" s="79"/>
    </row>
    <row r="131" spans="1:9" ht="15.75" x14ac:dyDescent="0.25">
      <c r="A131" s="101" t="s">
        <v>293</v>
      </c>
      <c r="B131" s="104" t="s">
        <v>294</v>
      </c>
      <c r="C131" s="104" t="s">
        <v>465</v>
      </c>
      <c r="D131" s="104" t="s">
        <v>733</v>
      </c>
      <c r="E131" s="104" t="s">
        <v>732</v>
      </c>
      <c r="F131" s="79"/>
      <c r="G131" s="79"/>
      <c r="H131" s="79"/>
      <c r="I131" s="79"/>
    </row>
    <row r="132" spans="1:9" ht="15.75" x14ac:dyDescent="0.25">
      <c r="A132" s="101" t="s">
        <v>296</v>
      </c>
      <c r="B132" s="102" t="s">
        <v>297</v>
      </c>
      <c r="C132" s="102" t="s">
        <v>465</v>
      </c>
      <c r="D132" s="102" t="s">
        <v>734</v>
      </c>
      <c r="E132" s="102" t="s">
        <v>732</v>
      </c>
      <c r="F132" s="79"/>
      <c r="G132" s="79"/>
      <c r="H132" s="79"/>
      <c r="I132" s="79"/>
    </row>
    <row r="133" spans="1:9" ht="15.75" x14ac:dyDescent="0.25">
      <c r="A133" s="101" t="s">
        <v>299</v>
      </c>
      <c r="B133" s="104" t="s">
        <v>300</v>
      </c>
      <c r="C133" s="104" t="s">
        <v>465</v>
      </c>
      <c r="D133" s="104" t="s">
        <v>735</v>
      </c>
      <c r="E133" s="105" t="s">
        <v>627</v>
      </c>
      <c r="F133" s="79"/>
      <c r="G133" s="79"/>
      <c r="H133" s="79"/>
      <c r="I133" s="79"/>
    </row>
    <row r="134" spans="1:9" ht="15.75" x14ac:dyDescent="0.25">
      <c r="A134" s="101" t="s">
        <v>304</v>
      </c>
      <c r="B134" s="102" t="s">
        <v>305</v>
      </c>
      <c r="C134" s="102" t="s">
        <v>465</v>
      </c>
      <c r="D134" s="102" t="s">
        <v>736</v>
      </c>
      <c r="E134" s="102" t="s">
        <v>737</v>
      </c>
      <c r="F134" s="79"/>
      <c r="G134" s="79"/>
      <c r="H134" s="79"/>
      <c r="I134" s="79"/>
    </row>
    <row r="135" spans="1:9" ht="15.75" x14ac:dyDescent="0.25">
      <c r="A135" s="101" t="s">
        <v>307</v>
      </c>
      <c r="B135" s="104" t="s">
        <v>308</v>
      </c>
      <c r="C135" s="104" t="s">
        <v>465</v>
      </c>
      <c r="D135" s="104" t="s">
        <v>738</v>
      </c>
      <c r="E135" s="105" t="s">
        <v>627</v>
      </c>
      <c r="F135" s="79"/>
      <c r="G135" s="79"/>
      <c r="H135" s="79"/>
      <c r="I135" s="79"/>
    </row>
    <row r="136" spans="1:9" ht="15.75" x14ac:dyDescent="0.25">
      <c r="A136" s="101" t="s">
        <v>310</v>
      </c>
      <c r="B136" s="102" t="s">
        <v>311</v>
      </c>
      <c r="C136" s="102" t="s">
        <v>465</v>
      </c>
      <c r="D136" s="102" t="s">
        <v>739</v>
      </c>
      <c r="E136" s="103" t="s">
        <v>627</v>
      </c>
      <c r="F136" s="79"/>
      <c r="G136" s="79"/>
      <c r="H136" s="79"/>
      <c r="I136" s="79"/>
    </row>
    <row r="137" spans="1:9" ht="15.75" x14ac:dyDescent="0.25">
      <c r="A137" s="101" t="s">
        <v>313</v>
      </c>
      <c r="B137" s="104" t="s">
        <v>314</v>
      </c>
      <c r="C137" s="104" t="s">
        <v>465</v>
      </c>
      <c r="D137" s="104" t="s">
        <v>740</v>
      </c>
      <c r="E137" s="104" t="s">
        <v>741</v>
      </c>
      <c r="F137" s="79"/>
      <c r="G137" s="79"/>
      <c r="H137" s="79"/>
      <c r="I137" s="79"/>
    </row>
    <row r="138" spans="1:9" ht="15.75" x14ac:dyDescent="0.25">
      <c r="A138" s="101" t="s">
        <v>318</v>
      </c>
      <c r="B138" s="102" t="s">
        <v>319</v>
      </c>
      <c r="C138" s="102" t="s">
        <v>465</v>
      </c>
      <c r="D138" s="102" t="s">
        <v>742</v>
      </c>
      <c r="E138" s="103" t="s">
        <v>627</v>
      </c>
      <c r="F138" s="79"/>
      <c r="G138" s="79"/>
      <c r="H138" s="79"/>
      <c r="I138" s="79"/>
    </row>
    <row r="139" spans="1:9" ht="15.75" x14ac:dyDescent="0.25">
      <c r="A139" s="101" t="s">
        <v>321</v>
      </c>
      <c r="B139" s="104" t="s">
        <v>322</v>
      </c>
      <c r="C139" s="104" t="s">
        <v>467</v>
      </c>
      <c r="D139" s="104" t="s">
        <v>743</v>
      </c>
      <c r="E139" s="104" t="s">
        <v>744</v>
      </c>
      <c r="F139" s="79"/>
      <c r="G139" s="79"/>
      <c r="H139" s="79"/>
      <c r="I139" s="79"/>
    </row>
    <row r="140" spans="1:9" ht="15.75" x14ac:dyDescent="0.25">
      <c r="A140" s="101" t="s">
        <v>324</v>
      </c>
      <c r="B140" s="102" t="s">
        <v>325</v>
      </c>
      <c r="C140" s="102" t="s">
        <v>465</v>
      </c>
      <c r="D140" s="102" t="s">
        <v>745</v>
      </c>
      <c r="E140" s="102" t="s">
        <v>744</v>
      </c>
      <c r="F140" s="79"/>
      <c r="G140" s="79"/>
      <c r="H140" s="79"/>
      <c r="I140" s="79"/>
    </row>
    <row r="141" spans="1:9" ht="15.75" x14ac:dyDescent="0.25">
      <c r="A141" s="101" t="s">
        <v>327</v>
      </c>
      <c r="B141" s="104" t="s">
        <v>328</v>
      </c>
      <c r="C141" s="104" t="s">
        <v>465</v>
      </c>
      <c r="D141" s="104" t="s">
        <v>746</v>
      </c>
      <c r="E141" s="105" t="s">
        <v>627</v>
      </c>
      <c r="F141" s="79"/>
      <c r="G141" s="79"/>
      <c r="H141" s="79"/>
      <c r="I141" s="79"/>
    </row>
    <row r="142" spans="1:9" ht="15.75" x14ac:dyDescent="0.25">
      <c r="A142" s="101" t="s">
        <v>332</v>
      </c>
      <c r="B142" s="102" t="s">
        <v>333</v>
      </c>
      <c r="C142" s="102" t="s">
        <v>465</v>
      </c>
      <c r="D142" s="102" t="s">
        <v>747</v>
      </c>
      <c r="E142" s="103" t="s">
        <v>627</v>
      </c>
      <c r="F142" s="79"/>
      <c r="G142" s="79"/>
      <c r="H142" s="79"/>
      <c r="I142" s="79"/>
    </row>
    <row r="143" spans="1:9" ht="15.75" x14ac:dyDescent="0.25">
      <c r="A143" s="101" t="s">
        <v>335</v>
      </c>
      <c r="B143" s="104" t="s">
        <v>336</v>
      </c>
      <c r="C143" s="104" t="s">
        <v>465</v>
      </c>
      <c r="D143" s="104" t="s">
        <v>709</v>
      </c>
      <c r="E143" s="105" t="s">
        <v>627</v>
      </c>
      <c r="F143" s="79"/>
      <c r="G143" s="79"/>
      <c r="H143" s="79"/>
      <c r="I143" s="79"/>
    </row>
    <row r="144" spans="1:9" ht="15.75" x14ac:dyDescent="0.25">
      <c r="A144" s="101" t="s">
        <v>338</v>
      </c>
      <c r="B144" s="102" t="s">
        <v>339</v>
      </c>
      <c r="C144" s="102" t="s">
        <v>465</v>
      </c>
      <c r="D144" s="102" t="s">
        <v>748</v>
      </c>
      <c r="E144" s="103" t="s">
        <v>627</v>
      </c>
      <c r="F144" s="79"/>
      <c r="G144" s="79"/>
      <c r="H144" s="79"/>
      <c r="I144" s="79"/>
    </row>
    <row r="145" spans="1:9" ht="15.75" x14ac:dyDescent="0.25">
      <c r="A145" s="101" t="s">
        <v>341</v>
      </c>
      <c r="B145" s="104" t="s">
        <v>342</v>
      </c>
      <c r="C145" s="104" t="s">
        <v>465</v>
      </c>
      <c r="D145" s="104" t="s">
        <v>749</v>
      </c>
      <c r="E145" s="104" t="s">
        <v>750</v>
      </c>
      <c r="F145" s="79"/>
      <c r="G145" s="79"/>
      <c r="H145" s="79"/>
      <c r="I145" s="79"/>
    </row>
    <row r="146" spans="1:9" ht="15.75" x14ac:dyDescent="0.25">
      <c r="A146" s="101" t="s">
        <v>346</v>
      </c>
      <c r="B146" s="102" t="s">
        <v>347</v>
      </c>
      <c r="C146" s="102" t="s">
        <v>465</v>
      </c>
      <c r="D146" s="102" t="s">
        <v>751</v>
      </c>
      <c r="E146" s="102" t="s">
        <v>752</v>
      </c>
      <c r="F146" s="79"/>
      <c r="G146" s="79"/>
      <c r="H146" s="79"/>
      <c r="I146" s="79"/>
    </row>
    <row r="147" spans="1:9" ht="15.75" x14ac:dyDescent="0.25">
      <c r="A147" s="101" t="s">
        <v>349</v>
      </c>
      <c r="B147" s="104" t="s">
        <v>350</v>
      </c>
      <c r="C147" s="104" t="s">
        <v>465</v>
      </c>
      <c r="D147" s="104" t="s">
        <v>753</v>
      </c>
      <c r="E147" s="104" t="s">
        <v>754</v>
      </c>
      <c r="F147" s="79"/>
      <c r="G147" s="79"/>
      <c r="H147" s="79"/>
      <c r="I147" s="79"/>
    </row>
    <row r="148" spans="1:9" ht="15.75" x14ac:dyDescent="0.25">
      <c r="A148" s="101" t="s">
        <v>352</v>
      </c>
      <c r="B148" s="102" t="s">
        <v>353</v>
      </c>
      <c r="C148" s="102" t="s">
        <v>465</v>
      </c>
      <c r="D148" s="102" t="s">
        <v>755</v>
      </c>
      <c r="E148" s="102" t="s">
        <v>754</v>
      </c>
      <c r="F148" s="79"/>
      <c r="G148" s="79"/>
      <c r="H148" s="79"/>
      <c r="I148" s="79"/>
    </row>
    <row r="149" spans="1:9" ht="15.75" x14ac:dyDescent="0.25">
      <c r="A149" s="101" t="s">
        <v>355</v>
      </c>
      <c r="B149" s="104" t="s">
        <v>356</v>
      </c>
      <c r="C149" s="104" t="s">
        <v>465</v>
      </c>
      <c r="D149" s="104" t="s">
        <v>756</v>
      </c>
      <c r="E149" s="104" t="s">
        <v>757</v>
      </c>
      <c r="F149" s="79"/>
      <c r="G149" s="79"/>
      <c r="H149" s="79"/>
      <c r="I149" s="79"/>
    </row>
    <row r="150" spans="1:9" ht="15.75" x14ac:dyDescent="0.25">
      <c r="A150" s="101" t="s">
        <v>361</v>
      </c>
      <c r="B150" s="102" t="s">
        <v>362</v>
      </c>
      <c r="C150" s="102" t="s">
        <v>465</v>
      </c>
      <c r="D150" s="102" t="s">
        <v>758</v>
      </c>
      <c r="E150" s="103" t="s">
        <v>627</v>
      </c>
      <c r="F150" s="79"/>
      <c r="G150" s="79"/>
      <c r="H150" s="79"/>
      <c r="I150" s="79"/>
    </row>
    <row r="151" spans="1:9" ht="15.75" x14ac:dyDescent="0.25">
      <c r="A151" s="101" t="s">
        <v>364</v>
      </c>
      <c r="B151" s="104" t="s">
        <v>365</v>
      </c>
      <c r="C151" s="104" t="s">
        <v>465</v>
      </c>
      <c r="D151" s="104" t="s">
        <v>759</v>
      </c>
      <c r="E151" s="105" t="s">
        <v>627</v>
      </c>
      <c r="F151" s="79"/>
      <c r="G151" s="79"/>
      <c r="H151" s="79"/>
      <c r="I151" s="79"/>
    </row>
    <row r="152" spans="1:9" ht="15.75" x14ac:dyDescent="0.25">
      <c r="A152" s="101" t="s">
        <v>367</v>
      </c>
      <c r="B152" s="102" t="s">
        <v>368</v>
      </c>
      <c r="C152" s="102" t="s">
        <v>465</v>
      </c>
      <c r="D152" s="102" t="s">
        <v>760</v>
      </c>
      <c r="E152" s="103" t="s">
        <v>627</v>
      </c>
      <c r="F152" s="79"/>
      <c r="G152" s="79"/>
      <c r="H152" s="79"/>
      <c r="I152" s="79"/>
    </row>
    <row r="153" spans="1:9" ht="15.75" x14ac:dyDescent="0.25">
      <c r="A153" s="101" t="s">
        <v>370</v>
      </c>
      <c r="B153" s="104" t="s">
        <v>371</v>
      </c>
      <c r="C153" s="104" t="s">
        <v>465</v>
      </c>
      <c r="D153" s="104" t="s">
        <v>761</v>
      </c>
      <c r="E153" s="105" t="s">
        <v>627</v>
      </c>
      <c r="F153" s="79"/>
      <c r="G153" s="79"/>
      <c r="H153" s="79"/>
      <c r="I153" s="79"/>
    </row>
    <row r="154" spans="1:9" ht="15.75" x14ac:dyDescent="0.25">
      <c r="A154" s="101" t="s">
        <v>375</v>
      </c>
      <c r="B154" s="102" t="s">
        <v>376</v>
      </c>
      <c r="C154" s="102" t="s">
        <v>465</v>
      </c>
      <c r="D154" s="102" t="s">
        <v>762</v>
      </c>
      <c r="E154" s="103" t="s">
        <v>627</v>
      </c>
      <c r="F154" s="79"/>
      <c r="G154" s="79"/>
      <c r="H154" s="79"/>
      <c r="I154" s="79"/>
    </row>
    <row r="155" spans="1:9" ht="15.75" x14ac:dyDescent="0.25">
      <c r="A155" s="101" t="s">
        <v>378</v>
      </c>
      <c r="B155" s="104" t="s">
        <v>379</v>
      </c>
      <c r="C155" s="104" t="s">
        <v>465</v>
      </c>
      <c r="D155" s="104" t="s">
        <v>763</v>
      </c>
      <c r="E155" s="105" t="s">
        <v>627</v>
      </c>
      <c r="F155" s="79"/>
      <c r="G155" s="79"/>
      <c r="H155" s="79"/>
      <c r="I155" s="79"/>
    </row>
    <row r="156" spans="1:9" ht="15.75" x14ac:dyDescent="0.25">
      <c r="A156" s="101" t="s">
        <v>381</v>
      </c>
      <c r="B156" s="102" t="s">
        <v>382</v>
      </c>
      <c r="C156" s="102" t="s">
        <v>465</v>
      </c>
      <c r="D156" s="102" t="s">
        <v>764</v>
      </c>
      <c r="E156" s="103" t="s">
        <v>627</v>
      </c>
      <c r="F156" s="79"/>
      <c r="G156" s="79"/>
      <c r="H156" s="79"/>
      <c r="I156" s="79"/>
    </row>
    <row r="157" spans="1:9" ht="15.75" x14ac:dyDescent="0.25">
      <c r="A157" s="101" t="s">
        <v>384</v>
      </c>
      <c r="B157" s="104" t="s">
        <v>385</v>
      </c>
      <c r="C157" s="104" t="s">
        <v>465</v>
      </c>
      <c r="D157" s="104" t="s">
        <v>638</v>
      </c>
      <c r="E157" s="105" t="s">
        <v>627</v>
      </c>
      <c r="F157" s="79"/>
      <c r="G157" s="79"/>
      <c r="H157" s="79"/>
      <c r="I157" s="79"/>
    </row>
    <row r="158" spans="1:9" ht="15.75" x14ac:dyDescent="0.25">
      <c r="A158" s="101" t="s">
        <v>389</v>
      </c>
      <c r="B158" s="102" t="s">
        <v>390</v>
      </c>
      <c r="C158" s="102" t="s">
        <v>465</v>
      </c>
      <c r="D158" s="102" t="s">
        <v>765</v>
      </c>
      <c r="E158" s="103" t="s">
        <v>627</v>
      </c>
      <c r="F158" s="79"/>
      <c r="G158" s="79"/>
      <c r="H158" s="79"/>
      <c r="I158" s="79"/>
    </row>
    <row r="159" spans="1:9" ht="15.75" x14ac:dyDescent="0.25">
      <c r="A159" s="101" t="s">
        <v>392</v>
      </c>
      <c r="B159" s="104" t="s">
        <v>393</v>
      </c>
      <c r="C159" s="104" t="s">
        <v>465</v>
      </c>
      <c r="D159" s="104" t="s">
        <v>766</v>
      </c>
      <c r="E159" s="104" t="s">
        <v>767</v>
      </c>
      <c r="F159" s="79"/>
      <c r="G159" s="79"/>
      <c r="H159" s="79"/>
      <c r="I159" s="79"/>
    </row>
    <row r="160" spans="1:9" ht="15.75" x14ac:dyDescent="0.25">
      <c r="A160" s="101" t="s">
        <v>395</v>
      </c>
      <c r="B160" s="102" t="s">
        <v>396</v>
      </c>
      <c r="C160" s="102" t="s">
        <v>465</v>
      </c>
      <c r="D160" s="102" t="s">
        <v>768</v>
      </c>
      <c r="E160" s="102" t="s">
        <v>769</v>
      </c>
      <c r="F160" s="79"/>
      <c r="G160" s="79"/>
      <c r="H160" s="79"/>
      <c r="I160" s="79"/>
    </row>
    <row r="161" spans="1:9" ht="15.75" x14ac:dyDescent="0.25">
      <c r="A161" s="101" t="s">
        <v>398</v>
      </c>
      <c r="B161" s="104" t="s">
        <v>399</v>
      </c>
      <c r="C161" s="104" t="s">
        <v>465</v>
      </c>
      <c r="D161" s="104" t="s">
        <v>770</v>
      </c>
      <c r="E161" s="105" t="s">
        <v>627</v>
      </c>
      <c r="F161" s="79"/>
      <c r="G161" s="79"/>
      <c r="H161" s="79"/>
      <c r="I161" s="79"/>
    </row>
    <row r="162" spans="1:9" ht="15.75" x14ac:dyDescent="0.25">
      <c r="A162" s="101" t="s">
        <v>403</v>
      </c>
      <c r="B162" s="102" t="s">
        <v>404</v>
      </c>
      <c r="C162" s="102" t="s">
        <v>465</v>
      </c>
      <c r="D162" s="102" t="s">
        <v>638</v>
      </c>
      <c r="E162" s="103" t="s">
        <v>627</v>
      </c>
      <c r="F162" s="79"/>
      <c r="G162" s="79"/>
      <c r="H162" s="79"/>
      <c r="I162" s="79"/>
    </row>
    <row r="163" spans="1:9" ht="15.75" x14ac:dyDescent="0.25">
      <c r="A163" s="101" t="s">
        <v>406</v>
      </c>
      <c r="B163" s="104" t="s">
        <v>407</v>
      </c>
      <c r="C163" s="104" t="s">
        <v>465</v>
      </c>
      <c r="D163" s="104" t="s">
        <v>771</v>
      </c>
      <c r="E163" s="105" t="s">
        <v>627</v>
      </c>
      <c r="F163" s="79"/>
      <c r="G163" s="79"/>
      <c r="H163" s="79"/>
      <c r="I163" s="79"/>
    </row>
    <row r="164" spans="1:9" ht="15.75" x14ac:dyDescent="0.25">
      <c r="A164" s="101" t="s">
        <v>409</v>
      </c>
      <c r="B164" s="102" t="s">
        <v>410</v>
      </c>
      <c r="C164" s="102" t="s">
        <v>465</v>
      </c>
      <c r="D164" s="102" t="s">
        <v>772</v>
      </c>
      <c r="E164" s="102" t="s">
        <v>773</v>
      </c>
      <c r="F164" s="79"/>
      <c r="G164" s="79"/>
      <c r="H164" s="79"/>
      <c r="I164" s="79"/>
    </row>
    <row r="165" spans="1:9" ht="15.75" x14ac:dyDescent="0.25">
      <c r="A165" s="101" t="s">
        <v>412</v>
      </c>
      <c r="B165" s="104" t="s">
        <v>413</v>
      </c>
      <c r="C165" s="104" t="s">
        <v>465</v>
      </c>
      <c r="D165" s="104" t="s">
        <v>774</v>
      </c>
      <c r="E165" s="104" t="s">
        <v>775</v>
      </c>
      <c r="F165" s="79"/>
      <c r="G165" s="79"/>
      <c r="H165" s="79"/>
      <c r="I165" s="79"/>
    </row>
    <row r="166" spans="1:9" ht="15.75" x14ac:dyDescent="0.25">
      <c r="A166" s="101" t="s">
        <v>417</v>
      </c>
      <c r="B166" s="102" t="s">
        <v>418</v>
      </c>
      <c r="C166" s="102" t="s">
        <v>465</v>
      </c>
      <c r="D166" s="102" t="s">
        <v>776</v>
      </c>
      <c r="E166" s="103" t="s">
        <v>627</v>
      </c>
      <c r="F166" s="79"/>
      <c r="G166" s="79"/>
      <c r="H166" s="79"/>
      <c r="I166" s="79"/>
    </row>
    <row r="167" spans="1:9" ht="15.75" x14ac:dyDescent="0.25">
      <c r="A167" s="101" t="s">
        <v>420</v>
      </c>
      <c r="B167" s="104" t="s">
        <v>421</v>
      </c>
      <c r="C167" s="104" t="s">
        <v>465</v>
      </c>
      <c r="D167" s="104" t="s">
        <v>777</v>
      </c>
      <c r="E167" s="104" t="s">
        <v>778</v>
      </c>
      <c r="F167" s="79"/>
      <c r="G167" s="79"/>
      <c r="H167" s="79"/>
      <c r="I167" s="79"/>
    </row>
    <row r="168" spans="1:9" ht="15.75" x14ac:dyDescent="0.25">
      <c r="A168" s="101" t="s">
        <v>423</v>
      </c>
      <c r="B168" s="102" t="s">
        <v>424</v>
      </c>
      <c r="C168" s="102" t="s">
        <v>465</v>
      </c>
      <c r="D168" s="102" t="s">
        <v>779</v>
      </c>
      <c r="E168" s="103" t="s">
        <v>627</v>
      </c>
      <c r="F168" s="79"/>
      <c r="G168" s="79"/>
      <c r="H168" s="79"/>
      <c r="I168" s="79"/>
    </row>
    <row r="169" spans="1:9" ht="15.75" x14ac:dyDescent="0.25">
      <c r="A169" s="101" t="s">
        <v>426</v>
      </c>
      <c r="B169" s="104" t="s">
        <v>427</v>
      </c>
      <c r="C169" s="104" t="s">
        <v>465</v>
      </c>
      <c r="D169" s="104" t="s">
        <v>780</v>
      </c>
      <c r="E169" s="104" t="s">
        <v>781</v>
      </c>
      <c r="F169" s="79"/>
      <c r="G169" s="79"/>
      <c r="H169" s="79"/>
      <c r="I169" s="79"/>
    </row>
    <row r="170" spans="1:9" ht="15.75" x14ac:dyDescent="0.25">
      <c r="A170" s="101" t="s">
        <v>431</v>
      </c>
      <c r="B170" s="102" t="s">
        <v>497</v>
      </c>
      <c r="C170" s="102" t="s">
        <v>465</v>
      </c>
      <c r="D170" s="102" t="s">
        <v>782</v>
      </c>
      <c r="E170" s="103" t="s">
        <v>627</v>
      </c>
      <c r="F170" s="79"/>
      <c r="G170" s="79"/>
      <c r="H170" s="79"/>
      <c r="I170" s="79"/>
    </row>
    <row r="171" spans="1:9" ht="15.75" x14ac:dyDescent="0.25">
      <c r="A171" s="101" t="s">
        <v>433</v>
      </c>
      <c r="B171" s="104" t="s">
        <v>498</v>
      </c>
      <c r="C171" s="104" t="s">
        <v>465</v>
      </c>
      <c r="D171" s="104" t="s">
        <v>783</v>
      </c>
      <c r="E171" s="105" t="s">
        <v>627</v>
      </c>
      <c r="F171" s="79"/>
      <c r="G171" s="79"/>
      <c r="H171" s="79"/>
      <c r="I171" s="79"/>
    </row>
    <row r="172" spans="1:9" ht="15.75" x14ac:dyDescent="0.25">
      <c r="A172" s="101" t="s">
        <v>435</v>
      </c>
      <c r="B172" s="102" t="s">
        <v>436</v>
      </c>
      <c r="C172" s="102" t="s">
        <v>465</v>
      </c>
      <c r="D172" s="102" t="s">
        <v>784</v>
      </c>
      <c r="E172" s="102" t="s">
        <v>785</v>
      </c>
      <c r="F172" s="79"/>
      <c r="G172" s="79"/>
      <c r="H172" s="79"/>
      <c r="I172" s="79"/>
    </row>
    <row r="173" spans="1:9" ht="15.75" x14ac:dyDescent="0.25">
      <c r="A173" s="101" t="s">
        <v>438</v>
      </c>
      <c r="B173" s="104" t="s">
        <v>439</v>
      </c>
      <c r="C173" s="104" t="s">
        <v>465</v>
      </c>
      <c r="D173" s="104" t="s">
        <v>786</v>
      </c>
      <c r="E173" s="104" t="s">
        <v>785</v>
      </c>
      <c r="F173" s="79"/>
      <c r="G173" s="79"/>
      <c r="H173" s="79"/>
      <c r="I173" s="79"/>
    </row>
    <row r="174" spans="1:9" ht="15.75" x14ac:dyDescent="0.25">
      <c r="A174" s="101" t="s">
        <v>443</v>
      </c>
      <c r="B174" s="102" t="s">
        <v>444</v>
      </c>
      <c r="C174" s="102" t="s">
        <v>465</v>
      </c>
      <c r="D174" s="102" t="s">
        <v>787</v>
      </c>
      <c r="E174" s="103" t="s">
        <v>627</v>
      </c>
      <c r="F174" s="79"/>
      <c r="G174" s="79"/>
      <c r="H174" s="79"/>
      <c r="I174" s="79"/>
    </row>
    <row r="175" spans="1:9" ht="15.75" x14ac:dyDescent="0.25">
      <c r="A175" s="101" t="s">
        <v>446</v>
      </c>
      <c r="B175" s="104" t="s">
        <v>447</v>
      </c>
      <c r="C175" s="104" t="s">
        <v>465</v>
      </c>
      <c r="D175" s="104" t="s">
        <v>788</v>
      </c>
      <c r="E175" s="104" t="s">
        <v>789</v>
      </c>
      <c r="F175" s="79"/>
      <c r="G175" s="79"/>
      <c r="H175" s="79"/>
      <c r="I175" s="79"/>
    </row>
    <row r="176" spans="1:9" ht="15.75" x14ac:dyDescent="0.25">
      <c r="A176" s="101" t="s">
        <v>449</v>
      </c>
      <c r="B176" s="102" t="s">
        <v>790</v>
      </c>
      <c r="C176" s="102" t="s">
        <v>466</v>
      </c>
      <c r="D176" s="102" t="s">
        <v>791</v>
      </c>
      <c r="E176" s="103" t="s">
        <v>627</v>
      </c>
      <c r="F176" s="79"/>
      <c r="G176" s="79"/>
      <c r="H176" s="79"/>
      <c r="I176" s="79"/>
    </row>
    <row r="177" spans="1:9" ht="15.75" x14ac:dyDescent="0.25">
      <c r="A177" s="101" t="s">
        <v>453</v>
      </c>
      <c r="B177" s="104" t="s">
        <v>454</v>
      </c>
      <c r="C177" s="104" t="s">
        <v>465</v>
      </c>
      <c r="D177" s="104" t="s">
        <v>792</v>
      </c>
      <c r="E177" s="105" t="s">
        <v>627</v>
      </c>
      <c r="F177" s="79"/>
      <c r="G177" s="79"/>
      <c r="H177" s="79"/>
      <c r="I177" s="79"/>
    </row>
    <row r="178" spans="1:9" ht="15.75" x14ac:dyDescent="0.25">
      <c r="A178" s="101" t="s">
        <v>456</v>
      </c>
      <c r="B178" s="102" t="s">
        <v>457</v>
      </c>
      <c r="C178" s="102" t="s">
        <v>465</v>
      </c>
      <c r="D178" s="102" t="s">
        <v>709</v>
      </c>
      <c r="E178" s="103" t="s">
        <v>627</v>
      </c>
      <c r="F178" s="79"/>
      <c r="G178" s="79"/>
      <c r="H178" s="79"/>
      <c r="I178" s="79"/>
    </row>
    <row r="179" spans="1:9" ht="15.75" x14ac:dyDescent="0.25">
      <c r="A179" s="101" t="s">
        <v>459</v>
      </c>
      <c r="B179" s="104" t="s">
        <v>460</v>
      </c>
      <c r="C179" s="104" t="s">
        <v>465</v>
      </c>
      <c r="D179" s="104" t="s">
        <v>793</v>
      </c>
      <c r="E179" s="105" t="s">
        <v>627</v>
      </c>
      <c r="F179" s="79"/>
      <c r="G179" s="79"/>
      <c r="H179" s="79"/>
      <c r="I179" s="79"/>
    </row>
    <row r="180" spans="1:9" ht="15.75" x14ac:dyDescent="0.25">
      <c r="A180" s="101" t="s">
        <v>462</v>
      </c>
      <c r="B180" s="102" t="s">
        <v>463</v>
      </c>
      <c r="C180" s="102" t="s">
        <v>465</v>
      </c>
      <c r="D180" s="102" t="s">
        <v>794</v>
      </c>
      <c r="E180" s="102" t="s">
        <v>795</v>
      </c>
      <c r="F180" s="79"/>
      <c r="G180" s="79"/>
      <c r="H180" s="79"/>
      <c r="I180" s="79"/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159E-9AC1-411C-A53F-9B5163022228}">
  <dimension ref="A1:S135"/>
  <sheetViews>
    <sheetView zoomScale="80" zoomScaleNormal="8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23" sqref="B23"/>
    </sheetView>
  </sheetViews>
  <sheetFormatPr baseColWidth="10" defaultRowHeight="15" x14ac:dyDescent="0.25"/>
  <cols>
    <col min="1" max="1" width="19.28515625" customWidth="1"/>
    <col min="2" max="2" width="20.7109375" customWidth="1"/>
    <col min="3" max="3" width="29.28515625" customWidth="1"/>
    <col min="4" max="4" width="73.7109375" bestFit="1" customWidth="1"/>
    <col min="5" max="5" width="37.7109375" customWidth="1"/>
    <col min="6" max="6" width="130" bestFit="1" customWidth="1"/>
    <col min="7" max="7" width="20.140625" customWidth="1"/>
    <col min="9" max="9" width="22.140625" bestFit="1" customWidth="1"/>
    <col min="10" max="10" width="16.28515625" bestFit="1" customWidth="1"/>
  </cols>
  <sheetData>
    <row r="1" spans="1:19" ht="38.25" x14ac:dyDescent="0.55000000000000004">
      <c r="A1" s="62" t="s">
        <v>802</v>
      </c>
      <c r="B1" s="62"/>
      <c r="C1" s="62"/>
      <c r="D1" s="62"/>
      <c r="E1" s="62"/>
      <c r="F1" s="62"/>
      <c r="G1" s="62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3" spans="1:19" ht="33" customHeight="1" x14ac:dyDescent="0.25">
      <c r="A3" s="1" t="s">
        <v>0</v>
      </c>
      <c r="B3" s="2" t="s">
        <v>1</v>
      </c>
      <c r="C3" s="2" t="s">
        <v>2</v>
      </c>
      <c r="D3" s="2" t="s">
        <v>468</v>
      </c>
      <c r="E3" s="2" t="s">
        <v>3</v>
      </c>
      <c r="F3" s="2" t="s">
        <v>4</v>
      </c>
      <c r="G3" s="3" t="s">
        <v>6</v>
      </c>
      <c r="H3" s="2" t="s">
        <v>5</v>
      </c>
      <c r="I3" s="2" t="s">
        <v>469</v>
      </c>
      <c r="J3" s="2" t="s">
        <v>472</v>
      </c>
    </row>
    <row r="4" spans="1:19" ht="18.75" x14ac:dyDescent="0.25">
      <c r="A4" s="8" t="s">
        <v>7</v>
      </c>
      <c r="B4" s="13" t="s">
        <v>8</v>
      </c>
      <c r="C4" s="14" t="s">
        <v>9</v>
      </c>
      <c r="D4" s="9" t="s">
        <v>10</v>
      </c>
      <c r="E4" s="45" t="s">
        <v>11</v>
      </c>
      <c r="F4" s="6" t="s">
        <v>12</v>
      </c>
      <c r="G4" s="6" t="s">
        <v>13</v>
      </c>
      <c r="H4" s="18" t="s">
        <v>465</v>
      </c>
      <c r="I4" s="17" t="s">
        <v>470</v>
      </c>
      <c r="J4" s="17">
        <v>1</v>
      </c>
    </row>
    <row r="5" spans="1:19" ht="18.75" x14ac:dyDescent="0.25">
      <c r="A5" s="10" t="s">
        <v>7</v>
      </c>
      <c r="B5" s="9" t="s">
        <v>8</v>
      </c>
      <c r="C5" s="9" t="s">
        <v>9</v>
      </c>
      <c r="D5" s="9" t="s">
        <v>10</v>
      </c>
      <c r="E5" s="45" t="s">
        <v>14</v>
      </c>
      <c r="F5" s="6" t="s">
        <v>15</v>
      </c>
      <c r="G5" s="6" t="s">
        <v>16</v>
      </c>
      <c r="H5" s="18" t="s">
        <v>465</v>
      </c>
      <c r="I5" s="17" t="s">
        <v>471</v>
      </c>
      <c r="J5" s="17">
        <v>1</v>
      </c>
    </row>
    <row r="6" spans="1:19" ht="18.75" x14ac:dyDescent="0.25">
      <c r="A6" s="10" t="s">
        <v>7</v>
      </c>
      <c r="B6" s="9" t="s">
        <v>8</v>
      </c>
      <c r="C6" s="9" t="s">
        <v>9</v>
      </c>
      <c r="D6" s="9" t="s">
        <v>10</v>
      </c>
      <c r="E6" s="45" t="s">
        <v>17</v>
      </c>
      <c r="F6" s="6" t="s">
        <v>18</v>
      </c>
      <c r="G6" s="6" t="s">
        <v>19</v>
      </c>
      <c r="H6" s="18" t="s">
        <v>465</v>
      </c>
      <c r="I6" s="17" t="s">
        <v>470</v>
      </c>
      <c r="J6" s="17">
        <v>1</v>
      </c>
    </row>
    <row r="7" spans="1:19" ht="18.75" x14ac:dyDescent="0.25">
      <c r="A7" s="10" t="s">
        <v>7</v>
      </c>
      <c r="B7" s="9" t="s">
        <v>8</v>
      </c>
      <c r="C7" s="9" t="s">
        <v>9</v>
      </c>
      <c r="D7" s="9" t="s">
        <v>10</v>
      </c>
      <c r="E7" s="45" t="s">
        <v>20</v>
      </c>
      <c r="F7" s="6" t="s">
        <v>21</v>
      </c>
      <c r="G7" s="6" t="s">
        <v>22</v>
      </c>
      <c r="H7" s="18" t="s">
        <v>465</v>
      </c>
      <c r="I7" s="17" t="s">
        <v>471</v>
      </c>
      <c r="J7" s="17">
        <v>1</v>
      </c>
    </row>
    <row r="8" spans="1:19" ht="18.75" x14ac:dyDescent="0.25">
      <c r="A8" s="10" t="s">
        <v>7</v>
      </c>
      <c r="B8" s="9" t="s">
        <v>8</v>
      </c>
      <c r="C8" s="14" t="s">
        <v>23</v>
      </c>
      <c r="D8" s="9" t="s">
        <v>24</v>
      </c>
      <c r="E8" s="45" t="s">
        <v>25</v>
      </c>
      <c r="F8" s="6" t="s">
        <v>26</v>
      </c>
      <c r="G8" s="6" t="s">
        <v>27</v>
      </c>
      <c r="H8" s="18" t="s">
        <v>465</v>
      </c>
      <c r="I8" s="17" t="s">
        <v>470</v>
      </c>
      <c r="J8" s="17">
        <v>1</v>
      </c>
    </row>
    <row r="9" spans="1:19" ht="18.75" x14ac:dyDescent="0.25">
      <c r="A9" s="10" t="s">
        <v>7</v>
      </c>
      <c r="B9" s="9" t="s">
        <v>8</v>
      </c>
      <c r="C9" s="9" t="s">
        <v>23</v>
      </c>
      <c r="D9" s="9" t="s">
        <v>24</v>
      </c>
      <c r="E9" s="45" t="s">
        <v>28</v>
      </c>
      <c r="F9" s="6" t="s">
        <v>29</v>
      </c>
      <c r="G9" s="6" t="s">
        <v>30</v>
      </c>
      <c r="H9" s="18" t="s">
        <v>465</v>
      </c>
      <c r="I9" s="17" t="s">
        <v>470</v>
      </c>
      <c r="J9" s="17">
        <v>1</v>
      </c>
    </row>
    <row r="10" spans="1:19" ht="18.75" x14ac:dyDescent="0.25">
      <c r="A10" s="10" t="s">
        <v>7</v>
      </c>
      <c r="B10" s="9" t="s">
        <v>8</v>
      </c>
      <c r="C10" s="9" t="s">
        <v>23</v>
      </c>
      <c r="D10" s="9" t="s">
        <v>24</v>
      </c>
      <c r="E10" s="45" t="s">
        <v>31</v>
      </c>
      <c r="F10" s="6" t="s">
        <v>32</v>
      </c>
      <c r="G10" s="6" t="s">
        <v>33</v>
      </c>
      <c r="H10" s="18" t="s">
        <v>465</v>
      </c>
      <c r="I10" s="17" t="s">
        <v>470</v>
      </c>
      <c r="J10" s="17">
        <v>1</v>
      </c>
    </row>
    <row r="11" spans="1:19" ht="18.75" x14ac:dyDescent="0.25">
      <c r="A11" s="10" t="s">
        <v>7</v>
      </c>
      <c r="B11" s="9" t="s">
        <v>8</v>
      </c>
      <c r="C11" s="9" t="s">
        <v>23</v>
      </c>
      <c r="D11" s="9" t="s">
        <v>24</v>
      </c>
      <c r="E11" s="45" t="s">
        <v>34</v>
      </c>
      <c r="F11" s="6" t="s">
        <v>35</v>
      </c>
      <c r="G11" s="6" t="s">
        <v>36</v>
      </c>
      <c r="H11" s="18" t="s">
        <v>465</v>
      </c>
      <c r="I11" s="17" t="s">
        <v>470</v>
      </c>
      <c r="J11" s="17">
        <v>1</v>
      </c>
    </row>
    <row r="12" spans="1:19" ht="18.75" x14ac:dyDescent="0.25">
      <c r="A12" s="10" t="s">
        <v>7</v>
      </c>
      <c r="B12" s="9" t="s">
        <v>8</v>
      </c>
      <c r="C12" s="14" t="s">
        <v>37</v>
      </c>
      <c r="D12" s="9" t="s">
        <v>38</v>
      </c>
      <c r="E12" s="45" t="s">
        <v>39</v>
      </c>
      <c r="F12" s="6" t="s">
        <v>40</v>
      </c>
      <c r="G12" s="6" t="s">
        <v>41</v>
      </c>
      <c r="H12" s="18" t="s">
        <v>465</v>
      </c>
      <c r="I12" s="17" t="s">
        <v>470</v>
      </c>
      <c r="J12" s="17">
        <v>1</v>
      </c>
    </row>
    <row r="13" spans="1:19" ht="18.75" x14ac:dyDescent="0.25">
      <c r="A13" s="10" t="s">
        <v>7</v>
      </c>
      <c r="B13" s="9" t="s">
        <v>8</v>
      </c>
      <c r="C13" s="9" t="s">
        <v>37</v>
      </c>
      <c r="D13" s="9" t="s">
        <v>38</v>
      </c>
      <c r="E13" s="45" t="s">
        <v>42</v>
      </c>
      <c r="F13" s="6" t="s">
        <v>43</v>
      </c>
      <c r="G13" s="6" t="s">
        <v>44</v>
      </c>
      <c r="H13" s="18" t="s">
        <v>465</v>
      </c>
      <c r="I13" s="17" t="s">
        <v>470</v>
      </c>
      <c r="J13" s="17">
        <v>1</v>
      </c>
    </row>
    <row r="14" spans="1:19" ht="18.75" x14ac:dyDescent="0.25">
      <c r="A14" s="10" t="s">
        <v>7</v>
      </c>
      <c r="B14" s="9" t="s">
        <v>8</v>
      </c>
      <c r="C14" s="9" t="s">
        <v>37</v>
      </c>
      <c r="D14" s="9" t="s">
        <v>38</v>
      </c>
      <c r="E14" s="45" t="s">
        <v>45</v>
      </c>
      <c r="F14" s="6" t="s">
        <v>495</v>
      </c>
      <c r="G14" s="6" t="s">
        <v>46</v>
      </c>
      <c r="H14" s="18" t="s">
        <v>466</v>
      </c>
      <c r="I14" s="17" t="s">
        <v>470</v>
      </c>
      <c r="J14" s="17">
        <v>1</v>
      </c>
    </row>
    <row r="15" spans="1:19" ht="18.75" x14ac:dyDescent="0.25">
      <c r="A15" s="10" t="s">
        <v>7</v>
      </c>
      <c r="B15" s="9" t="s">
        <v>8</v>
      </c>
      <c r="C15" s="9" t="s">
        <v>37</v>
      </c>
      <c r="D15" s="9" t="s">
        <v>38</v>
      </c>
      <c r="E15" s="45" t="s">
        <v>47</v>
      </c>
      <c r="F15" s="6" t="s">
        <v>48</v>
      </c>
      <c r="G15" s="6" t="s">
        <v>49</v>
      </c>
      <c r="H15" s="18" t="s">
        <v>465</v>
      </c>
      <c r="I15" s="17" t="s">
        <v>470</v>
      </c>
      <c r="J15" s="17">
        <v>1</v>
      </c>
    </row>
    <row r="16" spans="1:19" ht="18.75" x14ac:dyDescent="0.25">
      <c r="A16" s="10" t="s">
        <v>7</v>
      </c>
      <c r="B16" s="13" t="s">
        <v>50</v>
      </c>
      <c r="C16" s="14" t="s">
        <v>51</v>
      </c>
      <c r="D16" s="9" t="s">
        <v>52</v>
      </c>
      <c r="E16" s="45" t="s">
        <v>53</v>
      </c>
      <c r="F16" s="6" t="s">
        <v>54</v>
      </c>
      <c r="G16" s="6" t="s">
        <v>55</v>
      </c>
      <c r="H16" s="18" t="s">
        <v>467</v>
      </c>
      <c r="I16" s="17" t="s">
        <v>471</v>
      </c>
      <c r="J16" s="17">
        <v>1</v>
      </c>
    </row>
    <row r="17" spans="1:10" ht="18.75" x14ac:dyDescent="0.25">
      <c r="A17" s="10" t="s">
        <v>7</v>
      </c>
      <c r="B17" s="9" t="s">
        <v>50</v>
      </c>
      <c r="C17" s="9" t="s">
        <v>51</v>
      </c>
      <c r="D17" s="9" t="s">
        <v>52</v>
      </c>
      <c r="E17" s="45" t="s">
        <v>56</v>
      </c>
      <c r="F17" s="6" t="s">
        <v>57</v>
      </c>
      <c r="G17" s="6" t="s">
        <v>58</v>
      </c>
      <c r="H17" s="18" t="s">
        <v>467</v>
      </c>
      <c r="I17" s="17" t="s">
        <v>471</v>
      </c>
      <c r="J17" s="17">
        <v>1</v>
      </c>
    </row>
    <row r="18" spans="1:10" ht="18.75" x14ac:dyDescent="0.25">
      <c r="A18" s="10" t="s">
        <v>7</v>
      </c>
      <c r="B18" s="9" t="s">
        <v>50</v>
      </c>
      <c r="C18" s="9" t="s">
        <v>51</v>
      </c>
      <c r="D18" s="9" t="s">
        <v>52</v>
      </c>
      <c r="E18" s="45" t="s">
        <v>59</v>
      </c>
      <c r="F18" s="6" t="s">
        <v>60</v>
      </c>
      <c r="G18" s="6" t="s">
        <v>61</v>
      </c>
      <c r="H18" s="18" t="s">
        <v>467</v>
      </c>
      <c r="I18" s="17" t="s">
        <v>471</v>
      </c>
      <c r="J18" s="17">
        <v>1</v>
      </c>
    </row>
    <row r="19" spans="1:10" ht="18.75" x14ac:dyDescent="0.25">
      <c r="A19" s="10" t="s">
        <v>7</v>
      </c>
      <c r="B19" s="9" t="s">
        <v>50</v>
      </c>
      <c r="C19" s="9" t="s">
        <v>51</v>
      </c>
      <c r="D19" s="9" t="s">
        <v>52</v>
      </c>
      <c r="E19" s="45" t="s">
        <v>62</v>
      </c>
      <c r="F19" s="6" t="s">
        <v>63</v>
      </c>
      <c r="G19" s="6" t="s">
        <v>64</v>
      </c>
      <c r="H19" s="18" t="s">
        <v>465</v>
      </c>
      <c r="I19" s="17" t="s">
        <v>470</v>
      </c>
      <c r="J19" s="17">
        <v>1</v>
      </c>
    </row>
    <row r="20" spans="1:10" ht="18.75" x14ac:dyDescent="0.25">
      <c r="A20" s="10" t="s">
        <v>7</v>
      </c>
      <c r="B20" s="9" t="s">
        <v>50</v>
      </c>
      <c r="C20" s="14" t="s">
        <v>65</v>
      </c>
      <c r="D20" s="9" t="s">
        <v>66</v>
      </c>
      <c r="E20" s="45" t="s">
        <v>67</v>
      </c>
      <c r="F20" s="6" t="s">
        <v>68</v>
      </c>
      <c r="G20" s="6" t="s">
        <v>69</v>
      </c>
      <c r="H20" s="18" t="s">
        <v>465</v>
      </c>
      <c r="I20" s="17" t="s">
        <v>470</v>
      </c>
      <c r="J20" s="17">
        <v>1</v>
      </c>
    </row>
    <row r="21" spans="1:10" ht="18.75" x14ac:dyDescent="0.25">
      <c r="A21" s="10" t="s">
        <v>7</v>
      </c>
      <c r="B21" s="9" t="s">
        <v>50</v>
      </c>
      <c r="C21" s="9" t="s">
        <v>65</v>
      </c>
      <c r="D21" s="9" t="s">
        <v>66</v>
      </c>
      <c r="E21" s="45" t="s">
        <v>70</v>
      </c>
      <c r="F21" s="6" t="s">
        <v>71</v>
      </c>
      <c r="G21" s="6" t="s">
        <v>72</v>
      </c>
      <c r="H21" s="18" t="s">
        <v>465</v>
      </c>
      <c r="I21" s="17" t="s">
        <v>470</v>
      </c>
      <c r="J21" s="17">
        <v>1</v>
      </c>
    </row>
    <row r="22" spans="1:10" ht="18.75" x14ac:dyDescent="0.25">
      <c r="A22" s="10" t="s">
        <v>7</v>
      </c>
      <c r="B22" s="9" t="s">
        <v>50</v>
      </c>
      <c r="C22" s="9" t="s">
        <v>65</v>
      </c>
      <c r="D22" s="9" t="s">
        <v>66</v>
      </c>
      <c r="E22" s="45" t="s">
        <v>73</v>
      </c>
      <c r="F22" s="6" t="s">
        <v>74</v>
      </c>
      <c r="G22" s="6" t="s">
        <v>75</v>
      </c>
      <c r="H22" s="18" t="s">
        <v>465</v>
      </c>
      <c r="I22" s="17" t="s">
        <v>470</v>
      </c>
      <c r="J22" s="17">
        <v>1</v>
      </c>
    </row>
    <row r="23" spans="1:10" ht="18.75" x14ac:dyDescent="0.25">
      <c r="A23" s="10" t="s">
        <v>7</v>
      </c>
      <c r="B23" s="9" t="s">
        <v>50</v>
      </c>
      <c r="C23" s="9" t="s">
        <v>65</v>
      </c>
      <c r="D23" s="9" t="s">
        <v>66</v>
      </c>
      <c r="E23" s="45" t="s">
        <v>76</v>
      </c>
      <c r="F23" s="6" t="s">
        <v>77</v>
      </c>
      <c r="G23" s="6" t="s">
        <v>78</v>
      </c>
      <c r="H23" s="18" t="s">
        <v>465</v>
      </c>
      <c r="I23" s="17" t="s">
        <v>470</v>
      </c>
      <c r="J23" s="17">
        <v>1</v>
      </c>
    </row>
    <row r="24" spans="1:10" ht="18.75" x14ac:dyDescent="0.25">
      <c r="A24" s="10" t="s">
        <v>7</v>
      </c>
      <c r="B24" s="13" t="s">
        <v>79</v>
      </c>
      <c r="C24" s="14" t="s">
        <v>80</v>
      </c>
      <c r="D24" s="9" t="s">
        <v>81</v>
      </c>
      <c r="E24" s="45" t="s">
        <v>82</v>
      </c>
      <c r="F24" s="6" t="s">
        <v>83</v>
      </c>
      <c r="G24" s="6" t="s">
        <v>84</v>
      </c>
      <c r="H24" s="18" t="s">
        <v>465</v>
      </c>
      <c r="I24" s="17" t="s">
        <v>470</v>
      </c>
      <c r="J24" s="17">
        <v>1</v>
      </c>
    </row>
    <row r="25" spans="1:10" ht="18.75" x14ac:dyDescent="0.25">
      <c r="A25" s="10" t="s">
        <v>7</v>
      </c>
      <c r="B25" s="9" t="s">
        <v>79</v>
      </c>
      <c r="C25" s="9" t="s">
        <v>80</v>
      </c>
      <c r="D25" s="9" t="s">
        <v>81</v>
      </c>
      <c r="E25" s="45" t="s">
        <v>85</v>
      </c>
      <c r="F25" s="6" t="s">
        <v>503</v>
      </c>
      <c r="G25" s="6" t="s">
        <v>86</v>
      </c>
      <c r="H25" s="18" t="s">
        <v>466</v>
      </c>
      <c r="I25" s="17" t="s">
        <v>470</v>
      </c>
      <c r="J25" s="17">
        <v>1</v>
      </c>
    </row>
    <row r="26" spans="1:10" ht="18.75" x14ac:dyDescent="0.25">
      <c r="A26" s="10" t="s">
        <v>7</v>
      </c>
      <c r="B26" s="9" t="s">
        <v>79</v>
      </c>
      <c r="C26" s="9" t="s">
        <v>80</v>
      </c>
      <c r="D26" s="9" t="s">
        <v>81</v>
      </c>
      <c r="E26" s="45" t="s">
        <v>87</v>
      </c>
      <c r="F26" s="6" t="s">
        <v>88</v>
      </c>
      <c r="G26" s="6" t="s">
        <v>89</v>
      </c>
      <c r="H26" s="18" t="s">
        <v>465</v>
      </c>
      <c r="I26" s="17" t="s">
        <v>471</v>
      </c>
      <c r="J26" s="17">
        <v>1</v>
      </c>
    </row>
    <row r="27" spans="1:10" ht="18.75" x14ac:dyDescent="0.25">
      <c r="A27" s="10" t="s">
        <v>7</v>
      </c>
      <c r="B27" s="9" t="s">
        <v>79</v>
      </c>
      <c r="C27" s="9" t="s">
        <v>80</v>
      </c>
      <c r="D27" s="9" t="s">
        <v>81</v>
      </c>
      <c r="E27" s="45" t="s">
        <v>90</v>
      </c>
      <c r="F27" s="6" t="s">
        <v>504</v>
      </c>
      <c r="G27" s="6" t="s">
        <v>91</v>
      </c>
      <c r="H27" s="18" t="s">
        <v>466</v>
      </c>
      <c r="I27" s="17" t="s">
        <v>470</v>
      </c>
      <c r="J27" s="17">
        <v>1</v>
      </c>
    </row>
    <row r="28" spans="1:10" ht="18.75" x14ac:dyDescent="0.25">
      <c r="A28" s="10" t="s">
        <v>7</v>
      </c>
      <c r="B28" s="9" t="s">
        <v>79</v>
      </c>
      <c r="C28" s="14" t="s">
        <v>92</v>
      </c>
      <c r="D28" s="9" t="s">
        <v>93</v>
      </c>
      <c r="E28" s="45" t="s">
        <v>94</v>
      </c>
      <c r="F28" s="6" t="s">
        <v>95</v>
      </c>
      <c r="G28" s="6" t="s">
        <v>96</v>
      </c>
      <c r="H28" s="18" t="s">
        <v>466</v>
      </c>
      <c r="I28" s="17" t="s">
        <v>470</v>
      </c>
      <c r="J28" s="17">
        <v>25</v>
      </c>
    </row>
    <row r="29" spans="1:10" ht="18.75" x14ac:dyDescent="0.25">
      <c r="A29" s="10" t="s">
        <v>7</v>
      </c>
      <c r="B29" s="9" t="s">
        <v>79</v>
      </c>
      <c r="C29" s="9" t="s">
        <v>92</v>
      </c>
      <c r="D29" s="9" t="s">
        <v>93</v>
      </c>
      <c r="E29" s="45" t="s">
        <v>97</v>
      </c>
      <c r="F29" s="6" t="s">
        <v>98</v>
      </c>
      <c r="G29" s="6" t="s">
        <v>99</v>
      </c>
      <c r="H29" s="18" t="s">
        <v>466</v>
      </c>
      <c r="I29" s="17" t="s">
        <v>471</v>
      </c>
      <c r="J29" s="17">
        <v>15</v>
      </c>
    </row>
    <row r="30" spans="1:10" ht="18.75" x14ac:dyDescent="0.25">
      <c r="A30" s="10" t="s">
        <v>7</v>
      </c>
      <c r="B30" s="9" t="s">
        <v>79</v>
      </c>
      <c r="C30" s="9" t="s">
        <v>92</v>
      </c>
      <c r="D30" s="9" t="s">
        <v>93</v>
      </c>
      <c r="E30" s="45" t="s">
        <v>100</v>
      </c>
      <c r="F30" s="6" t="s">
        <v>101</v>
      </c>
      <c r="G30" s="6" t="s">
        <v>102</v>
      </c>
      <c r="H30" s="18" t="s">
        <v>467</v>
      </c>
      <c r="I30" s="17" t="s">
        <v>470</v>
      </c>
      <c r="J30" s="17">
        <v>1</v>
      </c>
    </row>
    <row r="31" spans="1:10" ht="18.75" x14ac:dyDescent="0.25">
      <c r="A31" s="10" t="s">
        <v>7</v>
      </c>
      <c r="B31" s="9" t="s">
        <v>79</v>
      </c>
      <c r="C31" s="9" t="s">
        <v>92</v>
      </c>
      <c r="D31" s="9" t="s">
        <v>93</v>
      </c>
      <c r="E31" s="45" t="s">
        <v>103</v>
      </c>
      <c r="F31" s="6" t="s">
        <v>104</v>
      </c>
      <c r="G31" s="6" t="s">
        <v>105</v>
      </c>
      <c r="H31" s="18" t="s">
        <v>465</v>
      </c>
      <c r="I31" s="17" t="s">
        <v>470</v>
      </c>
      <c r="J31" s="17">
        <v>1</v>
      </c>
    </row>
    <row r="32" spans="1:10" ht="18.75" x14ac:dyDescent="0.25">
      <c r="A32" s="10" t="s">
        <v>7</v>
      </c>
      <c r="B32" s="9" t="s">
        <v>79</v>
      </c>
      <c r="C32" s="14" t="s">
        <v>106</v>
      </c>
      <c r="D32" s="9" t="s">
        <v>107</v>
      </c>
      <c r="E32" s="45" t="s">
        <v>108</v>
      </c>
      <c r="F32" s="6" t="s">
        <v>109</v>
      </c>
      <c r="G32" s="6" t="s">
        <v>110</v>
      </c>
      <c r="H32" s="18" t="s">
        <v>465</v>
      </c>
      <c r="I32" s="17" t="s">
        <v>470</v>
      </c>
      <c r="J32" s="17">
        <v>1</v>
      </c>
    </row>
    <row r="33" spans="1:10" ht="18.75" x14ac:dyDescent="0.25">
      <c r="A33" s="10" t="s">
        <v>7</v>
      </c>
      <c r="B33" s="9" t="s">
        <v>79</v>
      </c>
      <c r="C33" s="9" t="s">
        <v>106</v>
      </c>
      <c r="D33" s="9" t="s">
        <v>107</v>
      </c>
      <c r="E33" s="45" t="s">
        <v>111</v>
      </c>
      <c r="F33" s="6" t="s">
        <v>112</v>
      </c>
      <c r="G33" s="6" t="s">
        <v>113</v>
      </c>
      <c r="H33" s="18" t="s">
        <v>465</v>
      </c>
      <c r="I33" s="17" t="s">
        <v>470</v>
      </c>
      <c r="J33" s="17">
        <v>1</v>
      </c>
    </row>
    <row r="34" spans="1:10" ht="18.75" x14ac:dyDescent="0.25">
      <c r="A34" s="10" t="s">
        <v>7</v>
      </c>
      <c r="B34" s="9" t="s">
        <v>79</v>
      </c>
      <c r="C34" s="9" t="s">
        <v>106</v>
      </c>
      <c r="D34" s="9" t="s">
        <v>107</v>
      </c>
      <c r="E34" s="45" t="s">
        <v>114</v>
      </c>
      <c r="F34" s="6" t="s">
        <v>115</v>
      </c>
      <c r="G34" s="6" t="s">
        <v>116</v>
      </c>
      <c r="H34" s="18" t="s">
        <v>465</v>
      </c>
      <c r="I34" s="17" t="s">
        <v>470</v>
      </c>
      <c r="J34" s="17">
        <v>1</v>
      </c>
    </row>
    <row r="35" spans="1:10" ht="18.75" x14ac:dyDescent="0.25">
      <c r="A35" s="10" t="s">
        <v>7</v>
      </c>
      <c r="B35" s="9" t="s">
        <v>79</v>
      </c>
      <c r="C35" s="9" t="s">
        <v>106</v>
      </c>
      <c r="D35" s="9" t="s">
        <v>107</v>
      </c>
      <c r="E35" s="45" t="s">
        <v>117</v>
      </c>
      <c r="F35" s="6" t="s">
        <v>118</v>
      </c>
      <c r="G35" s="6" t="s">
        <v>119</v>
      </c>
      <c r="H35" s="18" t="s">
        <v>465</v>
      </c>
      <c r="I35" s="17" t="s">
        <v>470</v>
      </c>
      <c r="J35" s="17">
        <v>1</v>
      </c>
    </row>
    <row r="36" spans="1:10" ht="18.75" x14ac:dyDescent="0.25">
      <c r="A36" s="8" t="s">
        <v>120</v>
      </c>
      <c r="B36" s="13" t="s">
        <v>8</v>
      </c>
      <c r="C36" s="14" t="s">
        <v>121</v>
      </c>
      <c r="D36" s="9" t="s">
        <v>122</v>
      </c>
      <c r="E36" s="45" t="s">
        <v>123</v>
      </c>
      <c r="F36" s="6" t="s">
        <v>124</v>
      </c>
      <c r="G36" s="6" t="s">
        <v>125</v>
      </c>
      <c r="H36" s="18" t="s">
        <v>465</v>
      </c>
      <c r="I36" s="17" t="s">
        <v>470</v>
      </c>
      <c r="J36" s="17">
        <v>1</v>
      </c>
    </row>
    <row r="37" spans="1:10" ht="18.75" x14ac:dyDescent="0.25">
      <c r="A37" s="10" t="s">
        <v>120</v>
      </c>
      <c r="B37" s="9" t="s">
        <v>8</v>
      </c>
      <c r="C37" s="9" t="s">
        <v>121</v>
      </c>
      <c r="D37" s="9" t="s">
        <v>122</v>
      </c>
      <c r="E37" s="45" t="s">
        <v>126</v>
      </c>
      <c r="F37" s="6" t="s">
        <v>127</v>
      </c>
      <c r="G37" s="6" t="s">
        <v>128</v>
      </c>
      <c r="H37" s="18" t="s">
        <v>465</v>
      </c>
      <c r="I37" s="17" t="s">
        <v>470</v>
      </c>
      <c r="J37" s="17">
        <v>1</v>
      </c>
    </row>
    <row r="38" spans="1:10" ht="18.75" x14ac:dyDescent="0.25">
      <c r="A38" s="10" t="s">
        <v>120</v>
      </c>
      <c r="B38" s="9" t="s">
        <v>8</v>
      </c>
      <c r="C38" s="9" t="s">
        <v>121</v>
      </c>
      <c r="D38" s="9" t="s">
        <v>122</v>
      </c>
      <c r="E38" s="45" t="s">
        <v>129</v>
      </c>
      <c r="F38" s="6" t="s">
        <v>130</v>
      </c>
      <c r="G38" s="6" t="s">
        <v>131</v>
      </c>
      <c r="H38" s="18" t="s">
        <v>465</v>
      </c>
      <c r="I38" s="17" t="s">
        <v>471</v>
      </c>
      <c r="J38" s="17">
        <v>1</v>
      </c>
    </row>
    <row r="39" spans="1:10" ht="18.75" x14ac:dyDescent="0.25">
      <c r="A39" s="10" t="s">
        <v>120</v>
      </c>
      <c r="B39" s="9" t="s">
        <v>8</v>
      </c>
      <c r="C39" s="9" t="s">
        <v>121</v>
      </c>
      <c r="D39" s="9" t="s">
        <v>122</v>
      </c>
      <c r="E39" s="45" t="s">
        <v>132</v>
      </c>
      <c r="F39" s="6" t="s">
        <v>133</v>
      </c>
      <c r="G39" s="6" t="s">
        <v>134</v>
      </c>
      <c r="H39" s="18" t="s">
        <v>465</v>
      </c>
      <c r="I39" s="17" t="s">
        <v>470</v>
      </c>
      <c r="J39" s="17">
        <v>1</v>
      </c>
    </row>
    <row r="40" spans="1:10" ht="18.75" x14ac:dyDescent="0.25">
      <c r="A40" s="10" t="s">
        <v>120</v>
      </c>
      <c r="B40" s="9" t="s">
        <v>8</v>
      </c>
      <c r="C40" s="14" t="s">
        <v>135</v>
      </c>
      <c r="D40" s="9" t="s">
        <v>136</v>
      </c>
      <c r="E40" s="45" t="s">
        <v>137</v>
      </c>
      <c r="F40" s="6" t="s">
        <v>138</v>
      </c>
      <c r="G40" s="6" t="s">
        <v>139</v>
      </c>
      <c r="H40" s="18" t="s">
        <v>465</v>
      </c>
      <c r="I40" s="17" t="s">
        <v>471</v>
      </c>
      <c r="J40" s="17">
        <v>1</v>
      </c>
    </row>
    <row r="41" spans="1:10" ht="18.75" x14ac:dyDescent="0.25">
      <c r="A41" s="10" t="s">
        <v>120</v>
      </c>
      <c r="B41" s="9" t="s">
        <v>8</v>
      </c>
      <c r="C41" s="9" t="s">
        <v>135</v>
      </c>
      <c r="D41" s="9" t="s">
        <v>136</v>
      </c>
      <c r="E41" s="45" t="s">
        <v>140</v>
      </c>
      <c r="F41" s="6" t="s">
        <v>141</v>
      </c>
      <c r="G41" s="6" t="s">
        <v>142</v>
      </c>
      <c r="H41" s="18" t="s">
        <v>465</v>
      </c>
      <c r="I41" s="17" t="s">
        <v>471</v>
      </c>
      <c r="J41" s="17">
        <v>1</v>
      </c>
    </row>
    <row r="42" spans="1:10" ht="18.75" x14ac:dyDescent="0.25">
      <c r="A42" s="10" t="s">
        <v>120</v>
      </c>
      <c r="B42" s="9" t="s">
        <v>8</v>
      </c>
      <c r="C42" s="9" t="s">
        <v>135</v>
      </c>
      <c r="D42" s="9" t="s">
        <v>136</v>
      </c>
      <c r="E42" s="45" t="s">
        <v>143</v>
      </c>
      <c r="F42" s="6" t="s">
        <v>144</v>
      </c>
      <c r="G42" s="6" t="s">
        <v>145</v>
      </c>
      <c r="H42" s="18" t="s">
        <v>465</v>
      </c>
      <c r="I42" s="17" t="s">
        <v>471</v>
      </c>
      <c r="J42" s="17">
        <v>1</v>
      </c>
    </row>
    <row r="43" spans="1:10" ht="18.75" x14ac:dyDescent="0.25">
      <c r="A43" s="10" t="s">
        <v>120</v>
      </c>
      <c r="B43" s="9" t="s">
        <v>8</v>
      </c>
      <c r="C43" s="9" t="s">
        <v>135</v>
      </c>
      <c r="D43" s="9" t="s">
        <v>136</v>
      </c>
      <c r="E43" s="45" t="s">
        <v>146</v>
      </c>
      <c r="F43" s="6" t="s">
        <v>147</v>
      </c>
      <c r="G43" s="6" t="s">
        <v>148</v>
      </c>
      <c r="H43" s="18" t="s">
        <v>465</v>
      </c>
      <c r="I43" s="17" t="s">
        <v>471</v>
      </c>
      <c r="J43" s="17">
        <v>1</v>
      </c>
    </row>
    <row r="44" spans="1:10" ht="18.75" x14ac:dyDescent="0.25">
      <c r="A44" s="10" t="s">
        <v>120</v>
      </c>
      <c r="B44" s="9" t="s">
        <v>8</v>
      </c>
      <c r="C44" s="14" t="s">
        <v>149</v>
      </c>
      <c r="D44" s="9" t="s">
        <v>150</v>
      </c>
      <c r="E44" s="45" t="s">
        <v>151</v>
      </c>
      <c r="F44" s="6" t="s">
        <v>152</v>
      </c>
      <c r="G44" s="6" t="s">
        <v>153</v>
      </c>
      <c r="H44" s="18" t="s">
        <v>465</v>
      </c>
      <c r="I44" s="17" t="s">
        <v>471</v>
      </c>
      <c r="J44" s="17">
        <v>1</v>
      </c>
    </row>
    <row r="45" spans="1:10" ht="18.75" x14ac:dyDescent="0.25">
      <c r="A45" s="10" t="s">
        <v>120</v>
      </c>
      <c r="B45" s="9" t="s">
        <v>8</v>
      </c>
      <c r="C45" s="9" t="s">
        <v>149</v>
      </c>
      <c r="D45" s="9" t="s">
        <v>150</v>
      </c>
      <c r="E45" s="45" t="s">
        <v>154</v>
      </c>
      <c r="F45" s="6" t="s">
        <v>155</v>
      </c>
      <c r="G45" s="6" t="s">
        <v>156</v>
      </c>
      <c r="H45" s="18" t="s">
        <v>466</v>
      </c>
      <c r="I45" s="17" t="s">
        <v>471</v>
      </c>
      <c r="J45" s="17">
        <v>1</v>
      </c>
    </row>
    <row r="46" spans="1:10" ht="18.75" x14ac:dyDescent="0.25">
      <c r="A46" s="10" t="s">
        <v>120</v>
      </c>
      <c r="B46" s="9" t="s">
        <v>8</v>
      </c>
      <c r="C46" s="9" t="s">
        <v>149</v>
      </c>
      <c r="D46" s="9" t="s">
        <v>150</v>
      </c>
      <c r="E46" s="45" t="s">
        <v>157</v>
      </c>
      <c r="F46" s="6" t="s">
        <v>158</v>
      </c>
      <c r="G46" s="6" t="s">
        <v>159</v>
      </c>
      <c r="H46" s="18" t="s">
        <v>465</v>
      </c>
      <c r="I46" s="17" t="s">
        <v>471</v>
      </c>
      <c r="J46" s="17">
        <v>1</v>
      </c>
    </row>
    <row r="47" spans="1:10" ht="18.75" x14ac:dyDescent="0.25">
      <c r="A47" s="10" t="s">
        <v>120</v>
      </c>
      <c r="B47" s="9" t="s">
        <v>8</v>
      </c>
      <c r="C47" s="9" t="s">
        <v>149</v>
      </c>
      <c r="D47" s="9" t="s">
        <v>150</v>
      </c>
      <c r="E47" s="45" t="s">
        <v>160</v>
      </c>
      <c r="F47" s="6" t="s">
        <v>161</v>
      </c>
      <c r="G47" s="6" t="s">
        <v>162</v>
      </c>
      <c r="H47" s="18" t="s">
        <v>465</v>
      </c>
      <c r="I47" s="17" t="s">
        <v>471</v>
      </c>
      <c r="J47" s="17">
        <v>1</v>
      </c>
    </row>
    <row r="48" spans="1:10" ht="18.75" x14ac:dyDescent="0.25">
      <c r="A48" s="10" t="s">
        <v>120</v>
      </c>
      <c r="B48" s="13" t="s">
        <v>50</v>
      </c>
      <c r="C48" s="14" t="s">
        <v>163</v>
      </c>
      <c r="D48" s="9" t="s">
        <v>164</v>
      </c>
      <c r="E48" s="45" t="s">
        <v>165</v>
      </c>
      <c r="F48" s="6" t="s">
        <v>166</v>
      </c>
      <c r="G48" s="6" t="s">
        <v>167</v>
      </c>
      <c r="H48" s="18" t="s">
        <v>467</v>
      </c>
      <c r="I48" s="17" t="s">
        <v>470</v>
      </c>
      <c r="J48" s="17">
        <v>1</v>
      </c>
    </row>
    <row r="49" spans="1:10" ht="18.75" x14ac:dyDescent="0.25">
      <c r="A49" s="10" t="s">
        <v>120</v>
      </c>
      <c r="B49" s="9" t="s">
        <v>50</v>
      </c>
      <c r="C49" s="9" t="s">
        <v>163</v>
      </c>
      <c r="D49" s="9" t="s">
        <v>164</v>
      </c>
      <c r="E49" s="45" t="s">
        <v>168</v>
      </c>
      <c r="F49" s="6" t="s">
        <v>169</v>
      </c>
      <c r="G49" s="6" t="s">
        <v>170</v>
      </c>
      <c r="H49" s="18" t="s">
        <v>465</v>
      </c>
      <c r="I49" s="17" t="s">
        <v>471</v>
      </c>
      <c r="J49" s="17">
        <v>1</v>
      </c>
    </row>
    <row r="50" spans="1:10" ht="18.75" x14ac:dyDescent="0.25">
      <c r="A50" s="10" t="s">
        <v>120</v>
      </c>
      <c r="B50" s="9" t="s">
        <v>50</v>
      </c>
      <c r="C50" s="9" t="s">
        <v>163</v>
      </c>
      <c r="D50" s="9" t="s">
        <v>164</v>
      </c>
      <c r="E50" s="45" t="s">
        <v>171</v>
      </c>
      <c r="F50" s="6" t="s">
        <v>172</v>
      </c>
      <c r="G50" s="6" t="s">
        <v>173</v>
      </c>
      <c r="H50" s="18" t="s">
        <v>465</v>
      </c>
      <c r="I50" s="17" t="s">
        <v>470</v>
      </c>
      <c r="J50" s="17">
        <v>1</v>
      </c>
    </row>
    <row r="51" spans="1:10" ht="18.75" x14ac:dyDescent="0.25">
      <c r="A51" s="10" t="s">
        <v>120</v>
      </c>
      <c r="B51" s="9" t="s">
        <v>50</v>
      </c>
      <c r="C51" s="9" t="s">
        <v>163</v>
      </c>
      <c r="D51" s="9" t="s">
        <v>164</v>
      </c>
      <c r="E51" s="45" t="s">
        <v>174</v>
      </c>
      <c r="F51" s="6" t="s">
        <v>175</v>
      </c>
      <c r="G51" s="6" t="s">
        <v>176</v>
      </c>
      <c r="H51" s="18" t="s">
        <v>465</v>
      </c>
      <c r="I51" s="17" t="s">
        <v>470</v>
      </c>
      <c r="J51" s="17">
        <v>1</v>
      </c>
    </row>
    <row r="52" spans="1:10" ht="18.75" x14ac:dyDescent="0.25">
      <c r="A52" s="10" t="s">
        <v>120</v>
      </c>
      <c r="B52" s="9" t="s">
        <v>50</v>
      </c>
      <c r="C52" s="14" t="s">
        <v>177</v>
      </c>
      <c r="D52" s="9" t="s">
        <v>178</v>
      </c>
      <c r="E52" s="45" t="s">
        <v>179</v>
      </c>
      <c r="F52" s="6" t="s">
        <v>180</v>
      </c>
      <c r="G52" s="6" t="s">
        <v>181</v>
      </c>
      <c r="H52" s="18" t="s">
        <v>465</v>
      </c>
      <c r="I52" s="17" t="s">
        <v>470</v>
      </c>
      <c r="J52" s="17">
        <v>1</v>
      </c>
    </row>
    <row r="53" spans="1:10" ht="18.75" x14ac:dyDescent="0.25">
      <c r="A53" s="10" t="s">
        <v>120</v>
      </c>
      <c r="B53" s="9" t="s">
        <v>50</v>
      </c>
      <c r="C53" s="9" t="s">
        <v>177</v>
      </c>
      <c r="D53" s="9" t="s">
        <v>178</v>
      </c>
      <c r="E53" s="45" t="s">
        <v>182</v>
      </c>
      <c r="F53" s="6" t="s">
        <v>183</v>
      </c>
      <c r="G53" s="6" t="s">
        <v>184</v>
      </c>
      <c r="H53" s="18" t="s">
        <v>465</v>
      </c>
      <c r="I53" s="17" t="s">
        <v>470</v>
      </c>
      <c r="J53" s="17">
        <v>1</v>
      </c>
    </row>
    <row r="54" spans="1:10" ht="18.75" x14ac:dyDescent="0.25">
      <c r="A54" s="10" t="s">
        <v>120</v>
      </c>
      <c r="B54" s="9" t="s">
        <v>50</v>
      </c>
      <c r="C54" s="9" t="s">
        <v>177</v>
      </c>
      <c r="D54" s="9" t="s">
        <v>178</v>
      </c>
      <c r="E54" s="45" t="s">
        <v>185</v>
      </c>
      <c r="F54" s="6" t="s">
        <v>186</v>
      </c>
      <c r="G54" s="6" t="s">
        <v>187</v>
      </c>
      <c r="H54" s="18" t="s">
        <v>465</v>
      </c>
      <c r="I54" s="17" t="s">
        <v>470</v>
      </c>
      <c r="J54" s="17">
        <v>1</v>
      </c>
    </row>
    <row r="55" spans="1:10" ht="18.75" x14ac:dyDescent="0.25">
      <c r="A55" s="10" t="s">
        <v>120</v>
      </c>
      <c r="B55" s="9" t="s">
        <v>50</v>
      </c>
      <c r="C55" s="9" t="s">
        <v>177</v>
      </c>
      <c r="D55" s="9" t="s">
        <v>178</v>
      </c>
      <c r="E55" s="45" t="s">
        <v>188</v>
      </c>
      <c r="F55" s="6" t="s">
        <v>189</v>
      </c>
      <c r="G55" s="6" t="s">
        <v>190</v>
      </c>
      <c r="H55" s="18" t="s">
        <v>465</v>
      </c>
      <c r="I55" s="17" t="s">
        <v>470</v>
      </c>
      <c r="J55" s="17">
        <v>1</v>
      </c>
    </row>
    <row r="56" spans="1:10" ht="18.75" x14ac:dyDescent="0.25">
      <c r="A56" s="10" t="s">
        <v>120</v>
      </c>
      <c r="B56" s="9" t="s">
        <v>50</v>
      </c>
      <c r="C56" s="14" t="s">
        <v>191</v>
      </c>
      <c r="D56" s="9" t="s">
        <v>192</v>
      </c>
      <c r="E56" s="45" t="s">
        <v>193</v>
      </c>
      <c r="F56" s="6" t="s">
        <v>194</v>
      </c>
      <c r="G56" s="6" t="s">
        <v>195</v>
      </c>
      <c r="H56" s="18" t="s">
        <v>465</v>
      </c>
      <c r="I56" s="17" t="s">
        <v>471</v>
      </c>
      <c r="J56" s="17">
        <v>1</v>
      </c>
    </row>
    <row r="57" spans="1:10" ht="18.75" x14ac:dyDescent="0.25">
      <c r="A57" s="10" t="s">
        <v>120</v>
      </c>
      <c r="B57" s="9" t="s">
        <v>50</v>
      </c>
      <c r="C57" s="9" t="s">
        <v>191</v>
      </c>
      <c r="D57" s="9" t="s">
        <v>192</v>
      </c>
      <c r="E57" s="45" t="s">
        <v>196</v>
      </c>
      <c r="F57" s="6" t="s">
        <v>197</v>
      </c>
      <c r="G57" s="6" t="s">
        <v>198</v>
      </c>
      <c r="H57" s="18" t="s">
        <v>465</v>
      </c>
      <c r="I57" s="17" t="s">
        <v>471</v>
      </c>
      <c r="J57" s="17">
        <v>1</v>
      </c>
    </row>
    <row r="58" spans="1:10" ht="18.75" x14ac:dyDescent="0.25">
      <c r="A58" s="10" t="s">
        <v>120</v>
      </c>
      <c r="B58" s="9" t="s">
        <v>50</v>
      </c>
      <c r="C58" s="9" t="s">
        <v>191</v>
      </c>
      <c r="D58" s="9" t="s">
        <v>192</v>
      </c>
      <c r="E58" s="45" t="s">
        <v>199</v>
      </c>
      <c r="F58" s="6" t="s">
        <v>200</v>
      </c>
      <c r="G58" s="6" t="s">
        <v>201</v>
      </c>
      <c r="H58" s="18" t="s">
        <v>465</v>
      </c>
      <c r="I58" s="17" t="s">
        <v>471</v>
      </c>
      <c r="J58" s="17">
        <v>1</v>
      </c>
    </row>
    <row r="59" spans="1:10" ht="18.75" x14ac:dyDescent="0.25">
      <c r="A59" s="10" t="s">
        <v>120</v>
      </c>
      <c r="B59" s="9" t="s">
        <v>50</v>
      </c>
      <c r="C59" s="9" t="s">
        <v>191</v>
      </c>
      <c r="D59" s="9" t="s">
        <v>192</v>
      </c>
      <c r="E59" s="45" t="s">
        <v>202</v>
      </c>
      <c r="F59" s="6" t="s">
        <v>203</v>
      </c>
      <c r="G59" s="6" t="s">
        <v>204</v>
      </c>
      <c r="H59" s="18" t="s">
        <v>465</v>
      </c>
      <c r="I59" s="17" t="s">
        <v>471</v>
      </c>
      <c r="J59" s="17">
        <v>1</v>
      </c>
    </row>
    <row r="60" spans="1:10" ht="18.75" x14ac:dyDescent="0.25">
      <c r="A60" s="10" t="s">
        <v>120</v>
      </c>
      <c r="B60" s="13" t="s">
        <v>79</v>
      </c>
      <c r="C60" s="14" t="s">
        <v>205</v>
      </c>
      <c r="D60" s="9" t="s">
        <v>206</v>
      </c>
      <c r="E60" s="45" t="s">
        <v>207</v>
      </c>
      <c r="F60" s="6" t="s">
        <v>208</v>
      </c>
      <c r="G60" s="6" t="s">
        <v>209</v>
      </c>
      <c r="H60" s="18" t="s">
        <v>465</v>
      </c>
      <c r="I60" s="17" t="s">
        <v>471</v>
      </c>
      <c r="J60" s="17">
        <v>1</v>
      </c>
    </row>
    <row r="61" spans="1:10" ht="18.75" x14ac:dyDescent="0.25">
      <c r="A61" s="10" t="s">
        <v>120</v>
      </c>
      <c r="B61" s="9" t="s">
        <v>79</v>
      </c>
      <c r="C61" s="9" t="s">
        <v>205</v>
      </c>
      <c r="D61" s="9" t="s">
        <v>206</v>
      </c>
      <c r="E61" s="45" t="s">
        <v>210</v>
      </c>
      <c r="F61" s="6" t="s">
        <v>211</v>
      </c>
      <c r="G61" s="6" t="s">
        <v>212</v>
      </c>
      <c r="H61" s="18" t="s">
        <v>465</v>
      </c>
      <c r="I61" s="17" t="s">
        <v>471</v>
      </c>
      <c r="J61" s="17">
        <v>1</v>
      </c>
    </row>
    <row r="62" spans="1:10" ht="18.75" x14ac:dyDescent="0.25">
      <c r="A62" s="10" t="s">
        <v>120</v>
      </c>
      <c r="B62" s="9" t="s">
        <v>79</v>
      </c>
      <c r="C62" s="9" t="s">
        <v>205</v>
      </c>
      <c r="D62" s="9" t="s">
        <v>206</v>
      </c>
      <c r="E62" s="45" t="s">
        <v>213</v>
      </c>
      <c r="F62" s="6" t="s">
        <v>214</v>
      </c>
      <c r="G62" s="6" t="s">
        <v>215</v>
      </c>
      <c r="H62" s="18" t="s">
        <v>465</v>
      </c>
      <c r="I62" s="17" t="s">
        <v>471</v>
      </c>
      <c r="J62" s="17">
        <v>1</v>
      </c>
    </row>
    <row r="63" spans="1:10" ht="18.75" x14ac:dyDescent="0.25">
      <c r="A63" s="10" t="s">
        <v>120</v>
      </c>
      <c r="B63" s="9" t="s">
        <v>79</v>
      </c>
      <c r="C63" s="9" t="s">
        <v>205</v>
      </c>
      <c r="D63" s="9" t="s">
        <v>206</v>
      </c>
      <c r="E63" s="45" t="s">
        <v>216</v>
      </c>
      <c r="F63" s="6" t="s">
        <v>217</v>
      </c>
      <c r="G63" s="6" t="s">
        <v>218</v>
      </c>
      <c r="H63" s="18" t="s">
        <v>465</v>
      </c>
      <c r="I63" s="17" t="s">
        <v>471</v>
      </c>
      <c r="J63" s="17">
        <v>1</v>
      </c>
    </row>
    <row r="64" spans="1:10" ht="18.75" x14ac:dyDescent="0.25">
      <c r="A64" s="10" t="s">
        <v>120</v>
      </c>
      <c r="B64" s="9" t="s">
        <v>79</v>
      </c>
      <c r="C64" s="14" t="s">
        <v>219</v>
      </c>
      <c r="D64" s="9" t="s">
        <v>220</v>
      </c>
      <c r="E64" s="45" t="s">
        <v>221</v>
      </c>
      <c r="F64" s="6" t="s">
        <v>222</v>
      </c>
      <c r="G64" s="6" t="s">
        <v>223</v>
      </c>
      <c r="H64" s="18" t="s">
        <v>465</v>
      </c>
      <c r="I64" s="17" t="s">
        <v>470</v>
      </c>
      <c r="J64" s="17">
        <v>1</v>
      </c>
    </row>
    <row r="65" spans="1:10" ht="18.75" x14ac:dyDescent="0.25">
      <c r="A65" s="10" t="s">
        <v>120</v>
      </c>
      <c r="B65" s="9" t="s">
        <v>79</v>
      </c>
      <c r="C65" s="9" t="s">
        <v>219</v>
      </c>
      <c r="D65" s="9" t="s">
        <v>220</v>
      </c>
      <c r="E65" s="45" t="s">
        <v>224</v>
      </c>
      <c r="F65" s="6" t="s">
        <v>225</v>
      </c>
      <c r="G65" s="6" t="s">
        <v>226</v>
      </c>
      <c r="H65" s="18" t="s">
        <v>465</v>
      </c>
      <c r="I65" s="17" t="s">
        <v>471</v>
      </c>
      <c r="J65" s="17">
        <v>1</v>
      </c>
    </row>
    <row r="66" spans="1:10" ht="18.75" x14ac:dyDescent="0.25">
      <c r="A66" s="10" t="s">
        <v>120</v>
      </c>
      <c r="B66" s="9" t="s">
        <v>79</v>
      </c>
      <c r="C66" s="9" t="s">
        <v>219</v>
      </c>
      <c r="D66" s="9" t="s">
        <v>220</v>
      </c>
      <c r="E66" s="45" t="s">
        <v>227</v>
      </c>
      <c r="F66" s="6" t="s">
        <v>228</v>
      </c>
      <c r="G66" s="6" t="s">
        <v>229</v>
      </c>
      <c r="H66" s="18" t="s">
        <v>465</v>
      </c>
      <c r="I66" s="17" t="s">
        <v>470</v>
      </c>
      <c r="J66" s="17">
        <v>1</v>
      </c>
    </row>
    <row r="67" spans="1:10" ht="18.75" x14ac:dyDescent="0.25">
      <c r="A67" s="10" t="s">
        <v>120</v>
      </c>
      <c r="B67" s="9" t="s">
        <v>79</v>
      </c>
      <c r="C67" s="9" t="s">
        <v>219</v>
      </c>
      <c r="D67" s="9" t="s">
        <v>220</v>
      </c>
      <c r="E67" s="45" t="s">
        <v>230</v>
      </c>
      <c r="F67" s="6" t="s">
        <v>231</v>
      </c>
      <c r="G67" s="6" t="s">
        <v>232</v>
      </c>
      <c r="H67" s="18" t="s">
        <v>465</v>
      </c>
      <c r="I67" s="17" t="s">
        <v>470</v>
      </c>
      <c r="J67" s="17">
        <v>1</v>
      </c>
    </row>
    <row r="68" spans="1:10" ht="18.75" x14ac:dyDescent="0.25">
      <c r="A68" s="10" t="s">
        <v>120</v>
      </c>
      <c r="B68" s="9" t="s">
        <v>79</v>
      </c>
      <c r="C68" s="14" t="s">
        <v>233</v>
      </c>
      <c r="D68" s="9" t="s">
        <v>234</v>
      </c>
      <c r="E68" s="45" t="s">
        <v>235</v>
      </c>
      <c r="F68" s="6" t="s">
        <v>236</v>
      </c>
      <c r="G68" s="6" t="s">
        <v>237</v>
      </c>
      <c r="H68" s="18" t="s">
        <v>465</v>
      </c>
      <c r="I68" s="17" t="s">
        <v>471</v>
      </c>
      <c r="J68" s="17">
        <v>1</v>
      </c>
    </row>
    <row r="69" spans="1:10" ht="18.75" x14ac:dyDescent="0.25">
      <c r="A69" s="10" t="s">
        <v>120</v>
      </c>
      <c r="B69" s="9" t="s">
        <v>79</v>
      </c>
      <c r="C69" s="9" t="s">
        <v>233</v>
      </c>
      <c r="D69" s="9" t="s">
        <v>234</v>
      </c>
      <c r="E69" s="45" t="s">
        <v>238</v>
      </c>
      <c r="F69" s="6" t="s">
        <v>239</v>
      </c>
      <c r="G69" s="6" t="s">
        <v>240</v>
      </c>
      <c r="H69" s="18" t="s">
        <v>465</v>
      </c>
      <c r="I69" s="17" t="s">
        <v>471</v>
      </c>
      <c r="J69" s="17">
        <v>1</v>
      </c>
    </row>
    <row r="70" spans="1:10" ht="18.75" x14ac:dyDescent="0.25">
      <c r="A70" s="10" t="s">
        <v>120</v>
      </c>
      <c r="B70" s="9" t="s">
        <v>79</v>
      </c>
      <c r="C70" s="9" t="s">
        <v>233</v>
      </c>
      <c r="D70" s="9" t="s">
        <v>234</v>
      </c>
      <c r="E70" s="45" t="s">
        <v>241</v>
      </c>
      <c r="F70" s="6" t="s">
        <v>505</v>
      </c>
      <c r="G70" s="6" t="s">
        <v>242</v>
      </c>
      <c r="H70" s="18" t="s">
        <v>466</v>
      </c>
      <c r="I70" s="17" t="s">
        <v>471</v>
      </c>
      <c r="J70" s="17">
        <v>1</v>
      </c>
    </row>
    <row r="71" spans="1:10" ht="18.75" x14ac:dyDescent="0.25">
      <c r="A71" s="10" t="s">
        <v>120</v>
      </c>
      <c r="B71" s="9" t="s">
        <v>79</v>
      </c>
      <c r="C71" s="9" t="s">
        <v>233</v>
      </c>
      <c r="D71" s="9" t="s">
        <v>234</v>
      </c>
      <c r="E71" s="45" t="s">
        <v>243</v>
      </c>
      <c r="F71" s="6" t="s">
        <v>244</v>
      </c>
      <c r="G71" s="6" t="s">
        <v>245</v>
      </c>
      <c r="H71" s="18" t="s">
        <v>465</v>
      </c>
      <c r="I71" s="17" t="s">
        <v>471</v>
      </c>
      <c r="J71" s="17">
        <v>1</v>
      </c>
    </row>
    <row r="72" spans="1:10" ht="18.75" x14ac:dyDescent="0.25">
      <c r="A72" s="8" t="s">
        <v>246</v>
      </c>
      <c r="B72" s="13" t="s">
        <v>8</v>
      </c>
      <c r="C72" s="14" t="s">
        <v>247</v>
      </c>
      <c r="D72" s="9" t="s">
        <v>248</v>
      </c>
      <c r="E72" s="45" t="s">
        <v>249</v>
      </c>
      <c r="F72" s="6" t="s">
        <v>250</v>
      </c>
      <c r="G72" s="6" t="s">
        <v>251</v>
      </c>
      <c r="H72" s="18" t="s">
        <v>465</v>
      </c>
      <c r="I72" s="17" t="s">
        <v>470</v>
      </c>
      <c r="J72" s="17">
        <v>1</v>
      </c>
    </row>
    <row r="73" spans="1:10" ht="18.75" x14ac:dyDescent="0.25">
      <c r="A73" s="10" t="s">
        <v>246</v>
      </c>
      <c r="B73" s="9" t="s">
        <v>8</v>
      </c>
      <c r="C73" s="9" t="s">
        <v>247</v>
      </c>
      <c r="D73" s="9" t="s">
        <v>248</v>
      </c>
      <c r="E73" s="45" t="s">
        <v>252</v>
      </c>
      <c r="F73" s="6" t="s">
        <v>253</v>
      </c>
      <c r="G73" s="6" t="s">
        <v>254</v>
      </c>
      <c r="H73" s="18" t="s">
        <v>465</v>
      </c>
      <c r="I73" s="17" t="s">
        <v>470</v>
      </c>
      <c r="J73" s="17">
        <v>1</v>
      </c>
    </row>
    <row r="74" spans="1:10" ht="18.75" x14ac:dyDescent="0.25">
      <c r="A74" s="10" t="s">
        <v>246</v>
      </c>
      <c r="B74" s="9" t="s">
        <v>8</v>
      </c>
      <c r="C74" s="9" t="s">
        <v>247</v>
      </c>
      <c r="D74" s="9" t="s">
        <v>248</v>
      </c>
      <c r="E74" s="45" t="s">
        <v>255</v>
      </c>
      <c r="F74" s="6" t="s">
        <v>256</v>
      </c>
      <c r="G74" s="6" t="s">
        <v>257</v>
      </c>
      <c r="H74" s="18" t="s">
        <v>465</v>
      </c>
      <c r="I74" s="17" t="s">
        <v>470</v>
      </c>
      <c r="J74" s="17">
        <v>1</v>
      </c>
    </row>
    <row r="75" spans="1:10" ht="18.75" x14ac:dyDescent="0.25">
      <c r="A75" s="10" t="s">
        <v>246</v>
      </c>
      <c r="B75" s="9" t="s">
        <v>8</v>
      </c>
      <c r="C75" s="9" t="s">
        <v>247</v>
      </c>
      <c r="D75" s="9" t="s">
        <v>248</v>
      </c>
      <c r="E75" s="45" t="s">
        <v>258</v>
      </c>
      <c r="F75" s="6" t="s">
        <v>496</v>
      </c>
      <c r="G75" s="6" t="s">
        <v>259</v>
      </c>
      <c r="H75" s="18" t="s">
        <v>466</v>
      </c>
      <c r="I75" s="17" t="s">
        <v>470</v>
      </c>
      <c r="J75" s="17">
        <v>1</v>
      </c>
    </row>
    <row r="76" spans="1:10" ht="18.75" x14ac:dyDescent="0.25">
      <c r="A76" s="10" t="s">
        <v>246</v>
      </c>
      <c r="B76" s="9" t="s">
        <v>8</v>
      </c>
      <c r="C76" s="14" t="s">
        <v>260</v>
      </c>
      <c r="D76" s="9" t="s">
        <v>261</v>
      </c>
      <c r="E76" s="45" t="s">
        <v>262</v>
      </c>
      <c r="F76" s="6" t="s">
        <v>263</v>
      </c>
      <c r="G76" s="6" t="s">
        <v>264</v>
      </c>
      <c r="H76" s="18" t="s">
        <v>465</v>
      </c>
      <c r="I76" s="17" t="s">
        <v>471</v>
      </c>
      <c r="J76" s="17">
        <v>1</v>
      </c>
    </row>
    <row r="77" spans="1:10" ht="18.75" x14ac:dyDescent="0.25">
      <c r="A77" s="10" t="s">
        <v>246</v>
      </c>
      <c r="B77" s="9" t="s">
        <v>8</v>
      </c>
      <c r="C77" s="9" t="s">
        <v>260</v>
      </c>
      <c r="D77" s="9" t="s">
        <v>261</v>
      </c>
      <c r="E77" s="45" t="s">
        <v>265</v>
      </c>
      <c r="F77" s="6" t="s">
        <v>266</v>
      </c>
      <c r="G77" s="6" t="s">
        <v>267</v>
      </c>
      <c r="H77" s="18" t="s">
        <v>465</v>
      </c>
      <c r="I77" s="17" t="s">
        <v>471</v>
      </c>
      <c r="J77" s="17">
        <v>1</v>
      </c>
    </row>
    <row r="78" spans="1:10" ht="18.75" x14ac:dyDescent="0.25">
      <c r="A78" s="10" t="s">
        <v>246</v>
      </c>
      <c r="B78" s="9" t="s">
        <v>8</v>
      </c>
      <c r="C78" s="9" t="s">
        <v>260</v>
      </c>
      <c r="D78" s="9" t="s">
        <v>261</v>
      </c>
      <c r="E78" s="45" t="s">
        <v>268</v>
      </c>
      <c r="F78" s="6" t="s">
        <v>269</v>
      </c>
      <c r="G78" s="6" t="s">
        <v>270</v>
      </c>
      <c r="H78" s="18" t="s">
        <v>465</v>
      </c>
      <c r="I78" s="17" t="s">
        <v>470</v>
      </c>
      <c r="J78" s="17">
        <v>1</v>
      </c>
    </row>
    <row r="79" spans="1:10" ht="18.75" x14ac:dyDescent="0.25">
      <c r="A79" s="10" t="s">
        <v>246</v>
      </c>
      <c r="B79" s="9" t="s">
        <v>8</v>
      </c>
      <c r="C79" s="9" t="s">
        <v>260</v>
      </c>
      <c r="D79" s="9" t="s">
        <v>261</v>
      </c>
      <c r="E79" s="45" t="s">
        <v>271</v>
      </c>
      <c r="F79" s="6" t="s">
        <v>272</v>
      </c>
      <c r="G79" s="6" t="s">
        <v>273</v>
      </c>
      <c r="H79" s="18" t="s">
        <v>465</v>
      </c>
      <c r="I79" s="17" t="s">
        <v>470</v>
      </c>
      <c r="J79" s="17">
        <v>1</v>
      </c>
    </row>
    <row r="80" spans="1:10" ht="37.5" x14ac:dyDescent="0.25">
      <c r="A80" s="10" t="s">
        <v>246</v>
      </c>
      <c r="B80" s="9" t="s">
        <v>8</v>
      </c>
      <c r="C80" s="14" t="s">
        <v>274</v>
      </c>
      <c r="D80" s="16" t="s">
        <v>275</v>
      </c>
      <c r="E80" s="45" t="s">
        <v>276</v>
      </c>
      <c r="F80" s="6" t="s">
        <v>277</v>
      </c>
      <c r="G80" s="6" t="s">
        <v>278</v>
      </c>
      <c r="H80" s="18" t="s">
        <v>465</v>
      </c>
      <c r="I80" s="17" t="s">
        <v>471</v>
      </c>
      <c r="J80" s="17">
        <v>1</v>
      </c>
    </row>
    <row r="81" spans="1:10" ht="18.75" x14ac:dyDescent="0.25">
      <c r="A81" s="10" t="s">
        <v>246</v>
      </c>
      <c r="B81" s="9" t="s">
        <v>8</v>
      </c>
      <c r="C81" s="9" t="s">
        <v>274</v>
      </c>
      <c r="D81" s="9" t="s">
        <v>275</v>
      </c>
      <c r="E81" s="45" t="s">
        <v>279</v>
      </c>
      <c r="F81" s="6" t="s">
        <v>280</v>
      </c>
      <c r="G81" s="6" t="s">
        <v>281</v>
      </c>
      <c r="H81" s="18" t="s">
        <v>465</v>
      </c>
      <c r="I81" s="17" t="s">
        <v>471</v>
      </c>
      <c r="J81" s="17">
        <v>1</v>
      </c>
    </row>
    <row r="82" spans="1:10" ht="18.75" x14ac:dyDescent="0.25">
      <c r="A82" s="10" t="s">
        <v>246</v>
      </c>
      <c r="B82" s="9" t="s">
        <v>8</v>
      </c>
      <c r="C82" s="9" t="s">
        <v>274</v>
      </c>
      <c r="D82" s="9" t="s">
        <v>275</v>
      </c>
      <c r="E82" s="45" t="s">
        <v>282</v>
      </c>
      <c r="F82" s="6" t="s">
        <v>283</v>
      </c>
      <c r="G82" s="6" t="s">
        <v>284</v>
      </c>
      <c r="H82" s="18" t="s">
        <v>465</v>
      </c>
      <c r="I82" s="17" t="s">
        <v>470</v>
      </c>
      <c r="J82" s="17">
        <v>1</v>
      </c>
    </row>
    <row r="83" spans="1:10" ht="18.75" x14ac:dyDescent="0.25">
      <c r="A83" s="10" t="s">
        <v>246</v>
      </c>
      <c r="B83" s="9" t="s">
        <v>8</v>
      </c>
      <c r="C83" s="9" t="s">
        <v>274</v>
      </c>
      <c r="D83" s="9" t="s">
        <v>275</v>
      </c>
      <c r="E83" s="45" t="s">
        <v>285</v>
      </c>
      <c r="F83" s="6" t="s">
        <v>286</v>
      </c>
      <c r="G83" s="6" t="s">
        <v>287</v>
      </c>
      <c r="H83" s="18" t="s">
        <v>465</v>
      </c>
      <c r="I83" s="17" t="s">
        <v>471</v>
      </c>
      <c r="J83" s="17">
        <v>1</v>
      </c>
    </row>
    <row r="84" spans="1:10" ht="18.75" x14ac:dyDescent="0.25">
      <c r="A84" s="10" t="s">
        <v>246</v>
      </c>
      <c r="B84" s="13" t="s">
        <v>50</v>
      </c>
      <c r="C84" s="14" t="s">
        <v>288</v>
      </c>
      <c r="D84" s="9" t="s">
        <v>289</v>
      </c>
      <c r="E84" s="45" t="s">
        <v>290</v>
      </c>
      <c r="F84" s="6" t="s">
        <v>291</v>
      </c>
      <c r="G84" s="6" t="s">
        <v>292</v>
      </c>
      <c r="H84" s="18" t="s">
        <v>465</v>
      </c>
      <c r="I84" s="17" t="s">
        <v>471</v>
      </c>
      <c r="J84" s="17">
        <v>1</v>
      </c>
    </row>
    <row r="85" spans="1:10" ht="18.75" x14ac:dyDescent="0.25">
      <c r="A85" s="10" t="s">
        <v>246</v>
      </c>
      <c r="B85" s="9" t="s">
        <v>50</v>
      </c>
      <c r="C85" s="9" t="s">
        <v>288</v>
      </c>
      <c r="D85" s="9" t="s">
        <v>289</v>
      </c>
      <c r="E85" s="45" t="s">
        <v>293</v>
      </c>
      <c r="F85" s="6" t="s">
        <v>294</v>
      </c>
      <c r="G85" s="6" t="s">
        <v>295</v>
      </c>
      <c r="H85" s="18" t="s">
        <v>465</v>
      </c>
      <c r="I85" s="17" t="s">
        <v>471</v>
      </c>
      <c r="J85" s="17">
        <v>1</v>
      </c>
    </row>
    <row r="86" spans="1:10" ht="18.75" x14ac:dyDescent="0.25">
      <c r="A86" s="10" t="s">
        <v>246</v>
      </c>
      <c r="B86" s="9" t="s">
        <v>50</v>
      </c>
      <c r="C86" s="9" t="s">
        <v>288</v>
      </c>
      <c r="D86" s="9" t="s">
        <v>289</v>
      </c>
      <c r="E86" s="45" t="s">
        <v>296</v>
      </c>
      <c r="F86" s="6" t="s">
        <v>297</v>
      </c>
      <c r="G86" s="6" t="s">
        <v>298</v>
      </c>
      <c r="H86" s="18" t="s">
        <v>465</v>
      </c>
      <c r="I86" s="17" t="s">
        <v>471</v>
      </c>
      <c r="J86" s="17">
        <v>1</v>
      </c>
    </row>
    <row r="87" spans="1:10" ht="18.75" x14ac:dyDescent="0.25">
      <c r="A87" s="10" t="s">
        <v>246</v>
      </c>
      <c r="B87" s="9" t="s">
        <v>50</v>
      </c>
      <c r="C87" s="9" t="s">
        <v>288</v>
      </c>
      <c r="D87" s="9" t="s">
        <v>289</v>
      </c>
      <c r="E87" s="45" t="s">
        <v>299</v>
      </c>
      <c r="F87" s="6" t="s">
        <v>300</v>
      </c>
      <c r="G87" s="6" t="s">
        <v>301</v>
      </c>
      <c r="H87" s="18" t="s">
        <v>465</v>
      </c>
      <c r="I87" s="17" t="s">
        <v>470</v>
      </c>
      <c r="J87" s="17">
        <v>1</v>
      </c>
    </row>
    <row r="88" spans="1:10" ht="18.75" x14ac:dyDescent="0.25">
      <c r="A88" s="10" t="s">
        <v>246</v>
      </c>
      <c r="B88" s="9" t="s">
        <v>50</v>
      </c>
      <c r="C88" s="14" t="s">
        <v>302</v>
      </c>
      <c r="D88" s="9" t="s">
        <v>303</v>
      </c>
      <c r="E88" s="45" t="s">
        <v>304</v>
      </c>
      <c r="F88" s="6" t="s">
        <v>305</v>
      </c>
      <c r="G88" s="6" t="s">
        <v>306</v>
      </c>
      <c r="H88" s="18" t="s">
        <v>465</v>
      </c>
      <c r="I88" s="17" t="s">
        <v>471</v>
      </c>
      <c r="J88" s="17">
        <v>1</v>
      </c>
    </row>
    <row r="89" spans="1:10" ht="18.75" x14ac:dyDescent="0.25">
      <c r="A89" s="10" t="s">
        <v>246</v>
      </c>
      <c r="B89" s="9" t="s">
        <v>50</v>
      </c>
      <c r="C89" s="9" t="s">
        <v>302</v>
      </c>
      <c r="D89" s="9" t="s">
        <v>303</v>
      </c>
      <c r="E89" s="45" t="s">
        <v>307</v>
      </c>
      <c r="F89" s="6" t="s">
        <v>308</v>
      </c>
      <c r="G89" s="6" t="s">
        <v>309</v>
      </c>
      <c r="H89" s="18" t="s">
        <v>465</v>
      </c>
      <c r="I89" s="17" t="s">
        <v>470</v>
      </c>
      <c r="J89" s="17">
        <v>1</v>
      </c>
    </row>
    <row r="90" spans="1:10" ht="18.75" x14ac:dyDescent="0.25">
      <c r="A90" s="10" t="s">
        <v>246</v>
      </c>
      <c r="B90" s="9" t="s">
        <v>50</v>
      </c>
      <c r="C90" s="9" t="s">
        <v>302</v>
      </c>
      <c r="D90" s="9" t="s">
        <v>303</v>
      </c>
      <c r="E90" s="45" t="s">
        <v>310</v>
      </c>
      <c r="F90" s="6" t="s">
        <v>311</v>
      </c>
      <c r="G90" s="6" t="s">
        <v>312</v>
      </c>
      <c r="H90" s="18" t="s">
        <v>465</v>
      </c>
      <c r="I90" s="17" t="s">
        <v>470</v>
      </c>
      <c r="J90" s="17">
        <v>1</v>
      </c>
    </row>
    <row r="91" spans="1:10" ht="18.75" x14ac:dyDescent="0.25">
      <c r="A91" s="10" t="s">
        <v>246</v>
      </c>
      <c r="B91" s="9" t="s">
        <v>50</v>
      </c>
      <c r="C91" s="9" t="s">
        <v>302</v>
      </c>
      <c r="D91" s="9" t="s">
        <v>303</v>
      </c>
      <c r="E91" s="45" t="s">
        <v>313</v>
      </c>
      <c r="F91" s="6" t="s">
        <v>314</v>
      </c>
      <c r="G91" s="6" t="s">
        <v>315</v>
      </c>
      <c r="H91" s="18" t="s">
        <v>465</v>
      </c>
      <c r="I91" s="17" t="s">
        <v>471</v>
      </c>
      <c r="J91" s="17">
        <v>1</v>
      </c>
    </row>
    <row r="92" spans="1:10" ht="18.75" x14ac:dyDescent="0.25">
      <c r="A92" s="10" t="s">
        <v>246</v>
      </c>
      <c r="B92" s="13" t="s">
        <v>79</v>
      </c>
      <c r="C92" s="14" t="s">
        <v>316</v>
      </c>
      <c r="D92" s="9" t="s">
        <v>317</v>
      </c>
      <c r="E92" s="45" t="s">
        <v>318</v>
      </c>
      <c r="F92" s="6" t="s">
        <v>319</v>
      </c>
      <c r="G92" s="6" t="s">
        <v>320</v>
      </c>
      <c r="H92" s="18" t="s">
        <v>465</v>
      </c>
      <c r="I92" s="17" t="s">
        <v>470</v>
      </c>
      <c r="J92" s="17">
        <v>1</v>
      </c>
    </row>
    <row r="93" spans="1:10" ht="18.75" x14ac:dyDescent="0.25">
      <c r="A93" s="10" t="s">
        <v>246</v>
      </c>
      <c r="B93" s="9" t="s">
        <v>79</v>
      </c>
      <c r="C93" s="9" t="s">
        <v>316</v>
      </c>
      <c r="D93" s="9" t="s">
        <v>317</v>
      </c>
      <c r="E93" s="45" t="s">
        <v>321</v>
      </c>
      <c r="F93" s="6" t="s">
        <v>322</v>
      </c>
      <c r="G93" s="6" t="s">
        <v>323</v>
      </c>
      <c r="H93" s="18" t="s">
        <v>467</v>
      </c>
      <c r="I93" s="17" t="s">
        <v>471</v>
      </c>
      <c r="J93" s="17">
        <v>1</v>
      </c>
    </row>
    <row r="94" spans="1:10" ht="18.75" x14ac:dyDescent="0.25">
      <c r="A94" s="10" t="s">
        <v>246</v>
      </c>
      <c r="B94" s="9" t="s">
        <v>79</v>
      </c>
      <c r="C94" s="9" t="s">
        <v>316</v>
      </c>
      <c r="D94" s="9" t="s">
        <v>317</v>
      </c>
      <c r="E94" s="45" t="s">
        <v>324</v>
      </c>
      <c r="F94" s="6" t="s">
        <v>325</v>
      </c>
      <c r="G94" s="6" t="s">
        <v>326</v>
      </c>
      <c r="H94" s="18" t="s">
        <v>465</v>
      </c>
      <c r="I94" s="17" t="s">
        <v>471</v>
      </c>
      <c r="J94" s="17">
        <v>1</v>
      </c>
    </row>
    <row r="95" spans="1:10" ht="18.75" x14ac:dyDescent="0.25">
      <c r="A95" s="10" t="s">
        <v>246</v>
      </c>
      <c r="B95" s="9" t="s">
        <v>79</v>
      </c>
      <c r="C95" s="9" t="s">
        <v>316</v>
      </c>
      <c r="D95" s="9" t="s">
        <v>317</v>
      </c>
      <c r="E95" s="45" t="s">
        <v>327</v>
      </c>
      <c r="F95" s="6" t="s">
        <v>328</v>
      </c>
      <c r="G95" s="6" t="s">
        <v>329</v>
      </c>
      <c r="H95" s="18" t="s">
        <v>465</v>
      </c>
      <c r="I95" s="17" t="s">
        <v>470</v>
      </c>
      <c r="J95" s="17">
        <v>1</v>
      </c>
    </row>
    <row r="96" spans="1:10" ht="18.75" x14ac:dyDescent="0.25">
      <c r="A96" s="10" t="s">
        <v>246</v>
      </c>
      <c r="B96" s="9" t="s">
        <v>79</v>
      </c>
      <c r="C96" s="14" t="s">
        <v>330</v>
      </c>
      <c r="D96" s="9" t="s">
        <v>331</v>
      </c>
      <c r="E96" s="45" t="s">
        <v>332</v>
      </c>
      <c r="F96" s="6" t="s">
        <v>333</v>
      </c>
      <c r="G96" s="6" t="s">
        <v>334</v>
      </c>
      <c r="H96" s="18" t="s">
        <v>465</v>
      </c>
      <c r="I96" s="17" t="s">
        <v>470</v>
      </c>
      <c r="J96" s="17">
        <v>1</v>
      </c>
    </row>
    <row r="97" spans="1:10" ht="18.75" x14ac:dyDescent="0.25">
      <c r="A97" s="10" t="s">
        <v>246</v>
      </c>
      <c r="B97" s="9" t="s">
        <v>79</v>
      </c>
      <c r="C97" s="9" t="s">
        <v>330</v>
      </c>
      <c r="D97" s="9" t="s">
        <v>331</v>
      </c>
      <c r="E97" s="45" t="s">
        <v>335</v>
      </c>
      <c r="F97" s="6" t="s">
        <v>336</v>
      </c>
      <c r="G97" s="6" t="s">
        <v>337</v>
      </c>
      <c r="H97" s="18" t="s">
        <v>465</v>
      </c>
      <c r="I97" s="17" t="s">
        <v>470</v>
      </c>
      <c r="J97" s="17">
        <v>1</v>
      </c>
    </row>
    <row r="98" spans="1:10" ht="18.75" x14ac:dyDescent="0.25">
      <c r="A98" s="10" t="s">
        <v>246</v>
      </c>
      <c r="B98" s="9" t="s">
        <v>79</v>
      </c>
      <c r="C98" s="9" t="s">
        <v>330</v>
      </c>
      <c r="D98" s="9" t="s">
        <v>331</v>
      </c>
      <c r="E98" s="45" t="s">
        <v>338</v>
      </c>
      <c r="F98" s="6" t="s">
        <v>339</v>
      </c>
      <c r="G98" s="6" t="s">
        <v>340</v>
      </c>
      <c r="H98" s="18" t="s">
        <v>465</v>
      </c>
      <c r="I98" s="17" t="s">
        <v>470</v>
      </c>
      <c r="J98" s="17">
        <v>1</v>
      </c>
    </row>
    <row r="99" spans="1:10" ht="18.75" x14ac:dyDescent="0.25">
      <c r="A99" s="10" t="s">
        <v>246</v>
      </c>
      <c r="B99" s="9" t="s">
        <v>79</v>
      </c>
      <c r="C99" s="9" t="s">
        <v>330</v>
      </c>
      <c r="D99" s="9" t="s">
        <v>331</v>
      </c>
      <c r="E99" s="45" t="s">
        <v>341</v>
      </c>
      <c r="F99" s="6" t="s">
        <v>342</v>
      </c>
      <c r="G99" s="6" t="s">
        <v>343</v>
      </c>
      <c r="H99" s="18" t="s">
        <v>465</v>
      </c>
      <c r="I99" s="17" t="s">
        <v>471</v>
      </c>
      <c r="J99" s="17">
        <v>1</v>
      </c>
    </row>
    <row r="100" spans="1:10" ht="18.75" x14ac:dyDescent="0.25">
      <c r="A100" s="10" t="s">
        <v>246</v>
      </c>
      <c r="B100" s="9" t="s">
        <v>79</v>
      </c>
      <c r="C100" s="14" t="s">
        <v>344</v>
      </c>
      <c r="D100" s="9" t="s">
        <v>345</v>
      </c>
      <c r="E100" s="45" t="s">
        <v>346</v>
      </c>
      <c r="F100" s="6" t="s">
        <v>347</v>
      </c>
      <c r="G100" s="6" t="s">
        <v>348</v>
      </c>
      <c r="H100" s="18" t="s">
        <v>465</v>
      </c>
      <c r="I100" s="17" t="s">
        <v>471</v>
      </c>
      <c r="J100" s="17">
        <v>1</v>
      </c>
    </row>
    <row r="101" spans="1:10" ht="18.75" x14ac:dyDescent="0.25">
      <c r="A101" s="10" t="s">
        <v>246</v>
      </c>
      <c r="B101" s="9" t="s">
        <v>79</v>
      </c>
      <c r="C101" s="9" t="s">
        <v>344</v>
      </c>
      <c r="D101" s="9" t="s">
        <v>345</v>
      </c>
      <c r="E101" s="45" t="s">
        <v>349</v>
      </c>
      <c r="F101" s="6" t="s">
        <v>350</v>
      </c>
      <c r="G101" s="6" t="s">
        <v>351</v>
      </c>
      <c r="H101" s="18" t="s">
        <v>465</v>
      </c>
      <c r="I101" s="17" t="s">
        <v>471</v>
      </c>
      <c r="J101" s="17">
        <v>1</v>
      </c>
    </row>
    <row r="102" spans="1:10" ht="18.75" x14ac:dyDescent="0.25">
      <c r="A102" s="10" t="s">
        <v>246</v>
      </c>
      <c r="B102" s="9" t="s">
        <v>79</v>
      </c>
      <c r="C102" s="9" t="s">
        <v>344</v>
      </c>
      <c r="D102" s="9" t="s">
        <v>345</v>
      </c>
      <c r="E102" s="45" t="s">
        <v>352</v>
      </c>
      <c r="F102" s="6" t="s">
        <v>353</v>
      </c>
      <c r="G102" s="6" t="s">
        <v>354</v>
      </c>
      <c r="H102" s="18" t="s">
        <v>465</v>
      </c>
      <c r="I102" s="17" t="s">
        <v>471</v>
      </c>
      <c r="J102" s="17">
        <v>1</v>
      </c>
    </row>
    <row r="103" spans="1:10" ht="18.75" x14ac:dyDescent="0.25">
      <c r="A103" s="10" t="s">
        <v>246</v>
      </c>
      <c r="B103" s="9" t="s">
        <v>79</v>
      </c>
      <c r="C103" s="9" t="s">
        <v>344</v>
      </c>
      <c r="D103" s="9" t="s">
        <v>345</v>
      </c>
      <c r="E103" s="45" t="s">
        <v>355</v>
      </c>
      <c r="F103" s="6" t="s">
        <v>356</v>
      </c>
      <c r="G103" s="6" t="s">
        <v>357</v>
      </c>
      <c r="H103" s="18" t="s">
        <v>465</v>
      </c>
      <c r="I103" s="17" t="s">
        <v>471</v>
      </c>
      <c r="J103" s="17">
        <v>1</v>
      </c>
    </row>
    <row r="104" spans="1:10" ht="18.75" x14ac:dyDescent="0.25">
      <c r="A104" s="8" t="s">
        <v>358</v>
      </c>
      <c r="B104" s="13" t="s">
        <v>8</v>
      </c>
      <c r="C104" s="14" t="s">
        <v>359</v>
      </c>
      <c r="D104" s="9" t="s">
        <v>360</v>
      </c>
      <c r="E104" s="45" t="s">
        <v>361</v>
      </c>
      <c r="F104" s="6" t="s">
        <v>362</v>
      </c>
      <c r="G104" s="6" t="s">
        <v>363</v>
      </c>
      <c r="H104" s="18" t="s">
        <v>465</v>
      </c>
      <c r="I104" s="17" t="s">
        <v>470</v>
      </c>
      <c r="J104" s="17">
        <v>1</v>
      </c>
    </row>
    <row r="105" spans="1:10" ht="18.75" x14ac:dyDescent="0.25">
      <c r="A105" s="10" t="s">
        <v>358</v>
      </c>
      <c r="B105" s="9" t="s">
        <v>8</v>
      </c>
      <c r="C105" s="9" t="s">
        <v>359</v>
      </c>
      <c r="D105" s="9" t="s">
        <v>360</v>
      </c>
      <c r="E105" s="45" t="s">
        <v>364</v>
      </c>
      <c r="F105" s="6" t="s">
        <v>365</v>
      </c>
      <c r="G105" s="6" t="s">
        <v>366</v>
      </c>
      <c r="H105" s="18" t="s">
        <v>465</v>
      </c>
      <c r="I105" s="17" t="s">
        <v>470</v>
      </c>
      <c r="J105" s="17">
        <v>1</v>
      </c>
    </row>
    <row r="106" spans="1:10" ht="18.75" x14ac:dyDescent="0.25">
      <c r="A106" s="10" t="s">
        <v>358</v>
      </c>
      <c r="B106" s="9" t="s">
        <v>8</v>
      </c>
      <c r="C106" s="9" t="s">
        <v>359</v>
      </c>
      <c r="D106" s="9" t="s">
        <v>360</v>
      </c>
      <c r="E106" s="45" t="s">
        <v>367</v>
      </c>
      <c r="F106" s="6" t="s">
        <v>368</v>
      </c>
      <c r="G106" s="6" t="s">
        <v>369</v>
      </c>
      <c r="H106" s="18" t="s">
        <v>465</v>
      </c>
      <c r="I106" s="17" t="s">
        <v>470</v>
      </c>
      <c r="J106" s="17">
        <v>1</v>
      </c>
    </row>
    <row r="107" spans="1:10" ht="18.75" x14ac:dyDescent="0.25">
      <c r="A107" s="10" t="s">
        <v>358</v>
      </c>
      <c r="B107" s="9" t="s">
        <v>8</v>
      </c>
      <c r="C107" s="9" t="s">
        <v>359</v>
      </c>
      <c r="D107" s="9" t="s">
        <v>360</v>
      </c>
      <c r="E107" s="45" t="s">
        <v>370</v>
      </c>
      <c r="F107" s="6" t="s">
        <v>371</v>
      </c>
      <c r="G107" s="6" t="s">
        <v>372</v>
      </c>
      <c r="H107" s="18" t="s">
        <v>465</v>
      </c>
      <c r="I107" s="17" t="s">
        <v>470</v>
      </c>
      <c r="J107" s="17">
        <v>1</v>
      </c>
    </row>
    <row r="108" spans="1:10" ht="18.75" x14ac:dyDescent="0.25">
      <c r="A108" s="10" t="s">
        <v>358</v>
      </c>
      <c r="B108" s="9" t="s">
        <v>8</v>
      </c>
      <c r="C108" s="14" t="s">
        <v>373</v>
      </c>
      <c r="D108" s="9" t="s">
        <v>374</v>
      </c>
      <c r="E108" s="45" t="s">
        <v>375</v>
      </c>
      <c r="F108" s="6" t="s">
        <v>376</v>
      </c>
      <c r="G108" s="6" t="s">
        <v>377</v>
      </c>
      <c r="H108" s="18" t="s">
        <v>465</v>
      </c>
      <c r="I108" s="17" t="s">
        <v>470</v>
      </c>
      <c r="J108" s="17">
        <v>1</v>
      </c>
    </row>
    <row r="109" spans="1:10" ht="18.75" x14ac:dyDescent="0.25">
      <c r="A109" s="10" t="s">
        <v>358</v>
      </c>
      <c r="B109" s="9" t="s">
        <v>8</v>
      </c>
      <c r="C109" s="9" t="s">
        <v>373</v>
      </c>
      <c r="D109" s="9" t="s">
        <v>374</v>
      </c>
      <c r="E109" s="45" t="s">
        <v>378</v>
      </c>
      <c r="F109" s="6" t="s">
        <v>379</v>
      </c>
      <c r="G109" s="6" t="s">
        <v>380</v>
      </c>
      <c r="H109" s="18" t="s">
        <v>465</v>
      </c>
      <c r="I109" s="17" t="s">
        <v>470</v>
      </c>
      <c r="J109" s="17">
        <v>1</v>
      </c>
    </row>
    <row r="110" spans="1:10" ht="18.75" x14ac:dyDescent="0.25">
      <c r="A110" s="10" t="s">
        <v>358</v>
      </c>
      <c r="B110" s="9" t="s">
        <v>8</v>
      </c>
      <c r="C110" s="9" t="s">
        <v>373</v>
      </c>
      <c r="D110" s="9" t="s">
        <v>374</v>
      </c>
      <c r="E110" s="45" t="s">
        <v>381</v>
      </c>
      <c r="F110" s="6" t="s">
        <v>382</v>
      </c>
      <c r="G110" s="6" t="s">
        <v>383</v>
      </c>
      <c r="H110" s="18" t="s">
        <v>465</v>
      </c>
      <c r="I110" s="17" t="s">
        <v>470</v>
      </c>
      <c r="J110" s="17">
        <v>1</v>
      </c>
    </row>
    <row r="111" spans="1:10" ht="18.75" x14ac:dyDescent="0.25">
      <c r="A111" s="10" t="s">
        <v>358</v>
      </c>
      <c r="B111" s="9" t="s">
        <v>8</v>
      </c>
      <c r="C111" s="9" t="s">
        <v>373</v>
      </c>
      <c r="D111" s="9" t="s">
        <v>374</v>
      </c>
      <c r="E111" s="45" t="s">
        <v>384</v>
      </c>
      <c r="F111" s="6" t="s">
        <v>385</v>
      </c>
      <c r="G111" s="6" t="s">
        <v>386</v>
      </c>
      <c r="H111" s="18" t="s">
        <v>465</v>
      </c>
      <c r="I111" s="17" t="s">
        <v>470</v>
      </c>
      <c r="J111" s="17">
        <v>1</v>
      </c>
    </row>
    <row r="112" spans="1:10" ht="18.75" x14ac:dyDescent="0.25">
      <c r="A112" s="10" t="s">
        <v>358</v>
      </c>
      <c r="B112" s="13" t="s">
        <v>50</v>
      </c>
      <c r="C112" s="14" t="s">
        <v>387</v>
      </c>
      <c r="D112" s="9" t="s">
        <v>388</v>
      </c>
      <c r="E112" s="45" t="s">
        <v>389</v>
      </c>
      <c r="F112" s="6" t="s">
        <v>390</v>
      </c>
      <c r="G112" s="6" t="s">
        <v>391</v>
      </c>
      <c r="H112" s="18" t="s">
        <v>465</v>
      </c>
      <c r="I112" s="17" t="s">
        <v>470</v>
      </c>
      <c r="J112" s="17">
        <v>1</v>
      </c>
    </row>
    <row r="113" spans="1:10" ht="18.75" x14ac:dyDescent="0.25">
      <c r="A113" s="10" t="s">
        <v>358</v>
      </c>
      <c r="B113" s="9" t="s">
        <v>50</v>
      </c>
      <c r="C113" s="9" t="s">
        <v>387</v>
      </c>
      <c r="D113" s="9" t="s">
        <v>388</v>
      </c>
      <c r="E113" s="45" t="s">
        <v>392</v>
      </c>
      <c r="F113" s="6" t="s">
        <v>393</v>
      </c>
      <c r="G113" s="6" t="s">
        <v>394</v>
      </c>
      <c r="H113" s="18" t="s">
        <v>465</v>
      </c>
      <c r="I113" s="17" t="s">
        <v>471</v>
      </c>
      <c r="J113" s="17">
        <v>1</v>
      </c>
    </row>
    <row r="114" spans="1:10" ht="18.75" x14ac:dyDescent="0.25">
      <c r="A114" s="10" t="s">
        <v>358</v>
      </c>
      <c r="B114" s="9" t="s">
        <v>50</v>
      </c>
      <c r="C114" s="9" t="s">
        <v>387</v>
      </c>
      <c r="D114" s="9" t="s">
        <v>388</v>
      </c>
      <c r="E114" s="45" t="s">
        <v>395</v>
      </c>
      <c r="F114" s="6" t="s">
        <v>396</v>
      </c>
      <c r="G114" s="6" t="s">
        <v>397</v>
      </c>
      <c r="H114" s="18" t="s">
        <v>465</v>
      </c>
      <c r="I114" s="17" t="s">
        <v>471</v>
      </c>
      <c r="J114" s="17">
        <v>1</v>
      </c>
    </row>
    <row r="115" spans="1:10" ht="18.75" x14ac:dyDescent="0.25">
      <c r="A115" s="10" t="s">
        <v>358</v>
      </c>
      <c r="B115" s="9" t="s">
        <v>50</v>
      </c>
      <c r="C115" s="9" t="s">
        <v>387</v>
      </c>
      <c r="D115" s="9" t="s">
        <v>388</v>
      </c>
      <c r="E115" s="45" t="s">
        <v>398</v>
      </c>
      <c r="F115" s="6" t="s">
        <v>399</v>
      </c>
      <c r="G115" s="6" t="s">
        <v>400</v>
      </c>
      <c r="H115" s="18" t="s">
        <v>465</v>
      </c>
      <c r="I115" s="17" t="s">
        <v>470</v>
      </c>
      <c r="J115" s="17">
        <v>1</v>
      </c>
    </row>
    <row r="116" spans="1:10" ht="18.75" x14ac:dyDescent="0.25">
      <c r="A116" s="10" t="s">
        <v>358</v>
      </c>
      <c r="B116" s="9" t="s">
        <v>50</v>
      </c>
      <c r="C116" s="14" t="s">
        <v>401</v>
      </c>
      <c r="D116" s="9" t="s">
        <v>402</v>
      </c>
      <c r="E116" s="45" t="s">
        <v>403</v>
      </c>
      <c r="F116" s="6" t="s">
        <v>404</v>
      </c>
      <c r="G116" s="6" t="s">
        <v>405</v>
      </c>
      <c r="H116" s="18" t="s">
        <v>465</v>
      </c>
      <c r="I116" s="17" t="s">
        <v>470</v>
      </c>
      <c r="J116" s="17">
        <v>1</v>
      </c>
    </row>
    <row r="117" spans="1:10" ht="18.75" x14ac:dyDescent="0.25">
      <c r="A117" s="10" t="s">
        <v>358</v>
      </c>
      <c r="B117" s="9" t="s">
        <v>50</v>
      </c>
      <c r="C117" s="9" t="s">
        <v>401</v>
      </c>
      <c r="D117" s="9" t="s">
        <v>402</v>
      </c>
      <c r="E117" s="45" t="s">
        <v>406</v>
      </c>
      <c r="F117" s="6" t="s">
        <v>407</v>
      </c>
      <c r="G117" s="6" t="s">
        <v>408</v>
      </c>
      <c r="H117" s="18" t="s">
        <v>465</v>
      </c>
      <c r="I117" s="17" t="s">
        <v>470</v>
      </c>
      <c r="J117" s="17">
        <v>1</v>
      </c>
    </row>
    <row r="118" spans="1:10" ht="18.75" x14ac:dyDescent="0.25">
      <c r="A118" s="10" t="s">
        <v>358</v>
      </c>
      <c r="B118" s="9" t="s">
        <v>50</v>
      </c>
      <c r="C118" s="9" t="s">
        <v>401</v>
      </c>
      <c r="D118" s="9" t="s">
        <v>402</v>
      </c>
      <c r="E118" s="45" t="s">
        <v>409</v>
      </c>
      <c r="F118" s="6" t="s">
        <v>410</v>
      </c>
      <c r="G118" s="6" t="s">
        <v>411</v>
      </c>
      <c r="H118" s="18" t="s">
        <v>465</v>
      </c>
      <c r="I118" s="17" t="s">
        <v>471</v>
      </c>
      <c r="J118" s="17">
        <v>1</v>
      </c>
    </row>
    <row r="119" spans="1:10" ht="18.75" x14ac:dyDescent="0.25">
      <c r="A119" s="10" t="s">
        <v>358</v>
      </c>
      <c r="B119" s="9" t="s">
        <v>50</v>
      </c>
      <c r="C119" s="9" t="s">
        <v>401</v>
      </c>
      <c r="D119" s="9" t="s">
        <v>402</v>
      </c>
      <c r="E119" s="45" t="s">
        <v>412</v>
      </c>
      <c r="F119" s="6" t="s">
        <v>413</v>
      </c>
      <c r="G119" s="6" t="s">
        <v>414</v>
      </c>
      <c r="H119" s="18" t="s">
        <v>465</v>
      </c>
      <c r="I119" s="17" t="s">
        <v>471</v>
      </c>
      <c r="J119" s="17">
        <v>1</v>
      </c>
    </row>
    <row r="120" spans="1:10" ht="18.75" x14ac:dyDescent="0.25">
      <c r="A120" s="10" t="s">
        <v>358</v>
      </c>
      <c r="B120" s="9" t="s">
        <v>50</v>
      </c>
      <c r="C120" s="14" t="s">
        <v>415</v>
      </c>
      <c r="D120" s="9" t="s">
        <v>416</v>
      </c>
      <c r="E120" s="45" t="s">
        <v>417</v>
      </c>
      <c r="F120" s="6" t="s">
        <v>418</v>
      </c>
      <c r="G120" s="6" t="s">
        <v>419</v>
      </c>
      <c r="H120" s="18" t="s">
        <v>465</v>
      </c>
      <c r="I120" s="17" t="s">
        <v>470</v>
      </c>
      <c r="J120" s="17">
        <v>1</v>
      </c>
    </row>
    <row r="121" spans="1:10" ht="18.75" x14ac:dyDescent="0.25">
      <c r="A121" s="10" t="s">
        <v>358</v>
      </c>
      <c r="B121" s="9" t="s">
        <v>50</v>
      </c>
      <c r="C121" s="9" t="s">
        <v>415</v>
      </c>
      <c r="D121" s="9" t="s">
        <v>416</v>
      </c>
      <c r="E121" s="45" t="s">
        <v>420</v>
      </c>
      <c r="F121" s="6" t="s">
        <v>421</v>
      </c>
      <c r="G121" s="6" t="s">
        <v>422</v>
      </c>
      <c r="H121" s="18" t="s">
        <v>465</v>
      </c>
      <c r="I121" s="17" t="s">
        <v>471</v>
      </c>
      <c r="J121" s="17">
        <v>1</v>
      </c>
    </row>
    <row r="122" spans="1:10" ht="18.75" x14ac:dyDescent="0.25">
      <c r="A122" s="10" t="s">
        <v>358</v>
      </c>
      <c r="B122" s="9" t="s">
        <v>50</v>
      </c>
      <c r="C122" s="9" t="s">
        <v>415</v>
      </c>
      <c r="D122" s="9" t="s">
        <v>416</v>
      </c>
      <c r="E122" s="45" t="s">
        <v>423</v>
      </c>
      <c r="F122" s="6" t="s">
        <v>424</v>
      </c>
      <c r="G122" s="6" t="s">
        <v>425</v>
      </c>
      <c r="H122" s="18" t="s">
        <v>465</v>
      </c>
      <c r="I122" s="17" t="s">
        <v>470</v>
      </c>
      <c r="J122" s="17">
        <v>1</v>
      </c>
    </row>
    <row r="123" spans="1:10" ht="18.75" x14ac:dyDescent="0.25">
      <c r="A123" s="10" t="s">
        <v>358</v>
      </c>
      <c r="B123" s="9" t="s">
        <v>50</v>
      </c>
      <c r="C123" s="9" t="s">
        <v>415</v>
      </c>
      <c r="D123" s="9" t="s">
        <v>416</v>
      </c>
      <c r="E123" s="45" t="s">
        <v>426</v>
      </c>
      <c r="F123" s="6" t="s">
        <v>427</v>
      </c>
      <c r="G123" s="6" t="s">
        <v>428</v>
      </c>
      <c r="H123" s="18" t="s">
        <v>465</v>
      </c>
      <c r="I123" s="17" t="s">
        <v>471</v>
      </c>
      <c r="J123" s="17">
        <v>1</v>
      </c>
    </row>
    <row r="124" spans="1:10" ht="18.75" x14ac:dyDescent="0.25">
      <c r="A124" s="10" t="s">
        <v>358</v>
      </c>
      <c r="B124" s="13" t="s">
        <v>79</v>
      </c>
      <c r="C124" s="14" t="s">
        <v>429</v>
      </c>
      <c r="D124" s="9" t="s">
        <v>430</v>
      </c>
      <c r="E124" s="45" t="s">
        <v>431</v>
      </c>
      <c r="F124" s="6" t="s">
        <v>497</v>
      </c>
      <c r="G124" s="6" t="s">
        <v>432</v>
      </c>
      <c r="H124" s="18" t="s">
        <v>465</v>
      </c>
      <c r="I124" s="17" t="s">
        <v>470</v>
      </c>
      <c r="J124" s="17">
        <v>1</v>
      </c>
    </row>
    <row r="125" spans="1:10" ht="18.75" x14ac:dyDescent="0.25">
      <c r="A125" s="10" t="s">
        <v>358</v>
      </c>
      <c r="B125" s="9" t="s">
        <v>79</v>
      </c>
      <c r="C125" s="9" t="s">
        <v>429</v>
      </c>
      <c r="D125" s="9" t="s">
        <v>430</v>
      </c>
      <c r="E125" s="45" t="s">
        <v>433</v>
      </c>
      <c r="F125" s="6" t="s">
        <v>498</v>
      </c>
      <c r="G125" s="6" t="s">
        <v>434</v>
      </c>
      <c r="H125" s="18" t="s">
        <v>465</v>
      </c>
      <c r="I125" s="17" t="s">
        <v>470</v>
      </c>
      <c r="J125" s="17">
        <v>1</v>
      </c>
    </row>
    <row r="126" spans="1:10" ht="18.75" x14ac:dyDescent="0.25">
      <c r="A126" s="10" t="s">
        <v>358</v>
      </c>
      <c r="B126" s="9" t="s">
        <v>79</v>
      </c>
      <c r="C126" s="9" t="s">
        <v>429</v>
      </c>
      <c r="D126" s="9" t="s">
        <v>430</v>
      </c>
      <c r="E126" s="45" t="s">
        <v>435</v>
      </c>
      <c r="F126" s="6" t="s">
        <v>436</v>
      </c>
      <c r="G126" s="6" t="s">
        <v>437</v>
      </c>
      <c r="H126" s="18" t="s">
        <v>465</v>
      </c>
      <c r="I126" s="17" t="s">
        <v>471</v>
      </c>
      <c r="J126" s="17">
        <v>1</v>
      </c>
    </row>
    <row r="127" spans="1:10" ht="18.75" x14ac:dyDescent="0.25">
      <c r="A127" s="10" t="s">
        <v>358</v>
      </c>
      <c r="B127" s="9" t="s">
        <v>79</v>
      </c>
      <c r="C127" s="9" t="s">
        <v>429</v>
      </c>
      <c r="D127" s="9" t="s">
        <v>430</v>
      </c>
      <c r="E127" s="45" t="s">
        <v>438</v>
      </c>
      <c r="F127" s="6" t="s">
        <v>439</v>
      </c>
      <c r="G127" s="6" t="s">
        <v>440</v>
      </c>
      <c r="H127" s="18" t="s">
        <v>465</v>
      </c>
      <c r="I127" s="17" t="s">
        <v>471</v>
      </c>
      <c r="J127" s="17">
        <v>1</v>
      </c>
    </row>
    <row r="128" spans="1:10" ht="18.75" x14ac:dyDescent="0.25">
      <c r="A128" s="10" t="s">
        <v>358</v>
      </c>
      <c r="B128" s="9" t="s">
        <v>79</v>
      </c>
      <c r="C128" s="14" t="s">
        <v>441</v>
      </c>
      <c r="D128" s="9" t="s">
        <v>442</v>
      </c>
      <c r="E128" s="45" t="s">
        <v>443</v>
      </c>
      <c r="F128" s="6" t="s">
        <v>444</v>
      </c>
      <c r="G128" s="6" t="s">
        <v>445</v>
      </c>
      <c r="H128" s="18" t="s">
        <v>465</v>
      </c>
      <c r="I128" s="17" t="s">
        <v>470</v>
      </c>
      <c r="J128" s="17">
        <v>1</v>
      </c>
    </row>
    <row r="129" spans="1:10" ht="18.75" x14ac:dyDescent="0.25">
      <c r="A129" s="10" t="s">
        <v>358</v>
      </c>
      <c r="B129" s="9" t="s">
        <v>79</v>
      </c>
      <c r="C129" s="9" t="s">
        <v>441</v>
      </c>
      <c r="D129" s="9" t="s">
        <v>442</v>
      </c>
      <c r="E129" s="45" t="s">
        <v>446</v>
      </c>
      <c r="F129" s="6" t="s">
        <v>447</v>
      </c>
      <c r="G129" s="6" t="s">
        <v>448</v>
      </c>
      <c r="H129" s="18" t="s">
        <v>465</v>
      </c>
      <c r="I129" s="17" t="s">
        <v>471</v>
      </c>
      <c r="J129" s="17">
        <v>1</v>
      </c>
    </row>
    <row r="130" spans="1:10" ht="18.75" x14ac:dyDescent="0.25">
      <c r="A130" s="10" t="s">
        <v>358</v>
      </c>
      <c r="B130" s="9" t="s">
        <v>79</v>
      </c>
      <c r="C130" s="9" t="s">
        <v>441</v>
      </c>
      <c r="D130" s="9" t="s">
        <v>442</v>
      </c>
      <c r="E130" s="45" t="s">
        <v>449</v>
      </c>
      <c r="F130" s="6" t="s">
        <v>506</v>
      </c>
      <c r="G130" s="6" t="s">
        <v>450</v>
      </c>
      <c r="H130" s="18" t="s">
        <v>466</v>
      </c>
      <c r="I130" s="17" t="s">
        <v>470</v>
      </c>
      <c r="J130" s="17">
        <v>1</v>
      </c>
    </row>
    <row r="131" spans="1:10" ht="18.75" x14ac:dyDescent="0.25">
      <c r="A131" s="10" t="s">
        <v>358</v>
      </c>
      <c r="B131" s="9" t="s">
        <v>79</v>
      </c>
      <c r="C131" s="14" t="s">
        <v>451</v>
      </c>
      <c r="D131" s="9" t="s">
        <v>452</v>
      </c>
      <c r="E131" s="45" t="s">
        <v>453</v>
      </c>
      <c r="F131" s="6" t="s">
        <v>454</v>
      </c>
      <c r="G131" s="6" t="s">
        <v>455</v>
      </c>
      <c r="H131" s="18" t="s">
        <v>465</v>
      </c>
      <c r="I131" s="17" t="s">
        <v>470</v>
      </c>
      <c r="J131" s="17">
        <v>1</v>
      </c>
    </row>
    <row r="132" spans="1:10" ht="18.75" x14ac:dyDescent="0.25">
      <c r="A132" s="10" t="s">
        <v>358</v>
      </c>
      <c r="B132" s="9" t="s">
        <v>79</v>
      </c>
      <c r="C132" s="9" t="s">
        <v>451</v>
      </c>
      <c r="D132" s="9" t="s">
        <v>452</v>
      </c>
      <c r="E132" s="45" t="s">
        <v>456</v>
      </c>
      <c r="F132" s="6" t="s">
        <v>457</v>
      </c>
      <c r="G132" s="6" t="s">
        <v>458</v>
      </c>
      <c r="H132" s="18" t="s">
        <v>465</v>
      </c>
      <c r="I132" s="17" t="s">
        <v>470</v>
      </c>
      <c r="J132" s="17">
        <v>1</v>
      </c>
    </row>
    <row r="133" spans="1:10" ht="18.75" x14ac:dyDescent="0.25">
      <c r="A133" s="10" t="s">
        <v>358</v>
      </c>
      <c r="B133" s="9" t="s">
        <v>79</v>
      </c>
      <c r="C133" s="9" t="s">
        <v>451</v>
      </c>
      <c r="D133" s="9" t="s">
        <v>452</v>
      </c>
      <c r="E133" s="45" t="s">
        <v>459</v>
      </c>
      <c r="F133" s="6" t="s">
        <v>460</v>
      </c>
      <c r="G133" s="6" t="s">
        <v>461</v>
      </c>
      <c r="H133" s="18" t="s">
        <v>465</v>
      </c>
      <c r="I133" s="17" t="s">
        <v>470</v>
      </c>
      <c r="J133" s="17">
        <v>1</v>
      </c>
    </row>
    <row r="134" spans="1:10" ht="18.75" x14ac:dyDescent="0.25">
      <c r="A134" s="11" t="s">
        <v>358</v>
      </c>
      <c r="B134" s="12" t="s">
        <v>79</v>
      </c>
      <c r="C134" s="12" t="s">
        <v>451</v>
      </c>
      <c r="D134" s="12" t="s">
        <v>452</v>
      </c>
      <c r="E134" s="46" t="s">
        <v>462</v>
      </c>
      <c r="F134" s="7" t="s">
        <v>463</v>
      </c>
      <c r="G134" s="6" t="s">
        <v>464</v>
      </c>
      <c r="H134" s="18" t="s">
        <v>465</v>
      </c>
      <c r="I134" s="17" t="s">
        <v>471</v>
      </c>
      <c r="J134" s="17">
        <v>1</v>
      </c>
    </row>
    <row r="135" spans="1:10" x14ac:dyDescent="0.25">
      <c r="A135" s="5"/>
      <c r="B135" s="5"/>
      <c r="C135" s="5"/>
      <c r="D135" s="5"/>
      <c r="E135" s="5"/>
      <c r="F135" s="5"/>
      <c r="G135" s="5"/>
    </row>
  </sheetData>
  <sheetProtection algorithmName="SHA-512" hashValue="vOoGi76JZ3tLrRxb6Lm7CTk5jjAWt6jeY2COQA2OzHPb/BNmPFlgV6SnkAJ8QIFbH97jWAcsOe0rKxLUhthrYg==" saltValue="iWBiJeIbs6KWWkj2RY+jsw==" spinCount="100000" sheet="1" objects="1" scenarios="1"/>
  <mergeCells count="1">
    <mergeCell ref="A1:G1"/>
  </mergeCells>
  <conditionalFormatting sqref="A4:D134">
    <cfRule type="expression" dxfId="13" priority="1">
      <formula>A4=A3</formula>
    </cfRule>
  </conditionalFormatting>
  <dataValidations count="3">
    <dataValidation type="list" allowBlank="1" showInputMessage="1" showErrorMessage="1" errorTitle="Type invalide" error="Choisir Binaire, Maturité ou Taux" sqref="H4:H134" xr:uid="{883EDCE6-8A15-44FF-93B9-0A5C315FF32D}">
      <formula1>"Binaire,Maturité,Taux,"</formula1>
    </dataValidation>
    <dataValidation type="list" allowBlank="1" showInputMessage="1" showErrorMessage="1" errorTitle="NA invalide" error="Choisir OUI ou NON " sqref="I4:I134" xr:uid="{8CBA4DAD-A4EB-4EB7-8148-D0D666A0307A}">
      <formula1>"OUI,NON."</formula1>
    </dataValidation>
    <dataValidation type="whole" operator="greaterThan" allowBlank="1" showInputMessage="1" showErrorMessage="1" errorTitle="Facteur invalide;" error="Le facteur doit etre un nombre entier supérieur à 0" sqref="J4:J134" xr:uid="{AF67360D-3AE0-421F-9061-AD8D00CC415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713B-5253-42AC-98F7-F926505276F1}">
  <dimension ref="A1:ME2"/>
  <sheetViews>
    <sheetView workbookViewId="0">
      <selection activeCell="B6" sqref="B6"/>
    </sheetView>
  </sheetViews>
  <sheetFormatPr baseColWidth="10" defaultColWidth="9.140625" defaultRowHeight="15" x14ac:dyDescent="0.25"/>
  <sheetData>
    <row r="1" spans="1:343" x14ac:dyDescent="0.25">
      <c r="A1" t="s">
        <v>500</v>
      </c>
      <c r="B1" t="s">
        <v>501</v>
      </c>
      <c r="C1" t="s">
        <v>821</v>
      </c>
      <c r="D1" t="s">
        <v>822</v>
      </c>
      <c r="E1" t="s">
        <v>823</v>
      </c>
      <c r="F1" t="s">
        <v>824</v>
      </c>
      <c r="G1" t="s">
        <v>502</v>
      </c>
      <c r="H1" t="s">
        <v>825</v>
      </c>
      <c r="I1" t="s">
        <v>826</v>
      </c>
      <c r="J1" t="s">
        <v>827</v>
      </c>
      <c r="K1" t="s">
        <v>828</v>
      </c>
      <c r="L1" t="s">
        <v>829</v>
      </c>
      <c r="M1" t="s">
        <v>830</v>
      </c>
      <c r="N1" t="s">
        <v>13</v>
      </c>
      <c r="O1" t="s">
        <v>831</v>
      </c>
      <c r="P1" t="s">
        <v>16</v>
      </c>
      <c r="Q1" t="s">
        <v>832</v>
      </c>
      <c r="R1" t="s">
        <v>19</v>
      </c>
      <c r="S1" t="s">
        <v>833</v>
      </c>
      <c r="T1" t="s">
        <v>22</v>
      </c>
      <c r="U1" t="s">
        <v>834</v>
      </c>
      <c r="V1" t="s">
        <v>835</v>
      </c>
      <c r="W1" t="s">
        <v>27</v>
      </c>
      <c r="X1" t="s">
        <v>836</v>
      </c>
      <c r="Y1" t="s">
        <v>30</v>
      </c>
      <c r="Z1" t="s">
        <v>837</v>
      </c>
      <c r="AA1" t="s">
        <v>33</v>
      </c>
      <c r="AB1" t="s">
        <v>838</v>
      </c>
      <c r="AC1" t="s">
        <v>36</v>
      </c>
      <c r="AD1" t="s">
        <v>839</v>
      </c>
      <c r="AE1" t="s">
        <v>840</v>
      </c>
      <c r="AF1" t="s">
        <v>41</v>
      </c>
      <c r="AG1" t="s">
        <v>841</v>
      </c>
      <c r="AH1" t="s">
        <v>44</v>
      </c>
      <c r="AI1" t="s">
        <v>842</v>
      </c>
      <c r="AJ1" t="s">
        <v>508</v>
      </c>
      <c r="AK1" t="s">
        <v>509</v>
      </c>
      <c r="AL1" t="s">
        <v>843</v>
      </c>
      <c r="AM1" t="s">
        <v>49</v>
      </c>
      <c r="AN1" t="s">
        <v>844</v>
      </c>
      <c r="AO1" t="s">
        <v>845</v>
      </c>
      <c r="AP1" t="s">
        <v>55</v>
      </c>
      <c r="AQ1" t="s">
        <v>846</v>
      </c>
      <c r="AR1" t="s">
        <v>58</v>
      </c>
      <c r="AS1" t="s">
        <v>847</v>
      </c>
      <c r="AT1" t="s">
        <v>61</v>
      </c>
      <c r="AU1" t="s">
        <v>848</v>
      </c>
      <c r="AV1" t="s">
        <v>64</v>
      </c>
      <c r="AW1" t="s">
        <v>849</v>
      </c>
      <c r="AX1" t="s">
        <v>850</v>
      </c>
      <c r="AY1" t="s">
        <v>69</v>
      </c>
      <c r="AZ1" t="s">
        <v>851</v>
      </c>
      <c r="BA1" t="s">
        <v>72</v>
      </c>
      <c r="BB1" t="s">
        <v>852</v>
      </c>
      <c r="BC1" t="s">
        <v>75</v>
      </c>
      <c r="BD1" t="s">
        <v>853</v>
      </c>
      <c r="BE1" t="s">
        <v>78</v>
      </c>
      <c r="BF1" t="s">
        <v>854</v>
      </c>
      <c r="BG1" t="s">
        <v>855</v>
      </c>
      <c r="BH1" t="s">
        <v>84</v>
      </c>
      <c r="BI1" t="s">
        <v>856</v>
      </c>
      <c r="BJ1" t="s">
        <v>857</v>
      </c>
      <c r="BK1" t="s">
        <v>858</v>
      </c>
      <c r="BL1" t="s">
        <v>859</v>
      </c>
      <c r="BM1" t="s">
        <v>89</v>
      </c>
      <c r="BN1" t="s">
        <v>860</v>
      </c>
      <c r="BO1" t="s">
        <v>861</v>
      </c>
      <c r="BP1" t="s">
        <v>862</v>
      </c>
      <c r="BQ1" t="s">
        <v>863</v>
      </c>
      <c r="BR1" t="s">
        <v>864</v>
      </c>
      <c r="BS1" t="s">
        <v>865</v>
      </c>
      <c r="BT1" t="s">
        <v>866</v>
      </c>
      <c r="BU1" t="s">
        <v>867</v>
      </c>
      <c r="BV1" t="s">
        <v>868</v>
      </c>
      <c r="BW1" t="s">
        <v>869</v>
      </c>
      <c r="BX1" t="s">
        <v>870</v>
      </c>
      <c r="BY1" t="s">
        <v>871</v>
      </c>
      <c r="BZ1" t="s">
        <v>102</v>
      </c>
      <c r="CA1" t="s">
        <v>872</v>
      </c>
      <c r="CB1" t="s">
        <v>105</v>
      </c>
      <c r="CC1" t="s">
        <v>873</v>
      </c>
      <c r="CD1" t="s">
        <v>874</v>
      </c>
      <c r="CE1" t="s">
        <v>110</v>
      </c>
      <c r="CF1" t="s">
        <v>875</v>
      </c>
      <c r="CG1" t="s">
        <v>113</v>
      </c>
      <c r="CH1" t="s">
        <v>876</v>
      </c>
      <c r="CI1" t="s">
        <v>116</v>
      </c>
      <c r="CJ1" t="s">
        <v>877</v>
      </c>
      <c r="CK1" t="s">
        <v>119</v>
      </c>
      <c r="CL1" t="s">
        <v>878</v>
      </c>
      <c r="CM1" t="s">
        <v>879</v>
      </c>
      <c r="CN1" t="s">
        <v>125</v>
      </c>
      <c r="CO1" t="s">
        <v>880</v>
      </c>
      <c r="CP1" t="s">
        <v>128</v>
      </c>
      <c r="CQ1" t="s">
        <v>881</v>
      </c>
      <c r="CR1" t="s">
        <v>131</v>
      </c>
      <c r="CS1" t="s">
        <v>882</v>
      </c>
      <c r="CT1" t="s">
        <v>134</v>
      </c>
      <c r="CU1" t="s">
        <v>883</v>
      </c>
      <c r="CV1" t="s">
        <v>884</v>
      </c>
      <c r="CW1" t="s">
        <v>139</v>
      </c>
      <c r="CX1" t="s">
        <v>885</v>
      </c>
      <c r="CY1" t="s">
        <v>142</v>
      </c>
      <c r="CZ1" t="s">
        <v>886</v>
      </c>
      <c r="DA1" t="s">
        <v>145</v>
      </c>
      <c r="DB1" t="s">
        <v>887</v>
      </c>
      <c r="DC1" t="s">
        <v>148</v>
      </c>
      <c r="DD1" t="s">
        <v>888</v>
      </c>
      <c r="DE1" t="s">
        <v>889</v>
      </c>
      <c r="DF1" t="s">
        <v>153</v>
      </c>
      <c r="DG1" t="s">
        <v>890</v>
      </c>
      <c r="DH1" t="s">
        <v>891</v>
      </c>
      <c r="DI1" t="s">
        <v>892</v>
      </c>
      <c r="DJ1" t="s">
        <v>893</v>
      </c>
      <c r="DK1" t="s">
        <v>894</v>
      </c>
      <c r="DL1" t="s">
        <v>159</v>
      </c>
      <c r="DM1" t="s">
        <v>895</v>
      </c>
      <c r="DN1" t="s">
        <v>162</v>
      </c>
      <c r="DO1" t="s">
        <v>896</v>
      </c>
      <c r="DP1" t="s">
        <v>897</v>
      </c>
      <c r="DQ1" t="s">
        <v>167</v>
      </c>
      <c r="DR1" t="s">
        <v>898</v>
      </c>
      <c r="DS1" t="s">
        <v>170</v>
      </c>
      <c r="DT1" t="s">
        <v>899</v>
      </c>
      <c r="DU1" t="s">
        <v>173</v>
      </c>
      <c r="DV1" t="s">
        <v>900</v>
      </c>
      <c r="DW1" t="s">
        <v>176</v>
      </c>
      <c r="DX1" t="s">
        <v>901</v>
      </c>
      <c r="DY1" t="s">
        <v>902</v>
      </c>
      <c r="DZ1" t="s">
        <v>181</v>
      </c>
      <c r="EA1" t="s">
        <v>903</v>
      </c>
      <c r="EB1" t="s">
        <v>184</v>
      </c>
      <c r="EC1" t="s">
        <v>904</v>
      </c>
      <c r="ED1" t="s">
        <v>187</v>
      </c>
      <c r="EE1" t="s">
        <v>905</v>
      </c>
      <c r="EF1" t="s">
        <v>190</v>
      </c>
      <c r="EG1" t="s">
        <v>906</v>
      </c>
      <c r="EH1" t="s">
        <v>907</v>
      </c>
      <c r="EI1" t="s">
        <v>195</v>
      </c>
      <c r="EJ1" t="s">
        <v>908</v>
      </c>
      <c r="EK1" t="s">
        <v>198</v>
      </c>
      <c r="EL1" t="s">
        <v>909</v>
      </c>
      <c r="EM1" t="s">
        <v>201</v>
      </c>
      <c r="EN1" t="s">
        <v>910</v>
      </c>
      <c r="EO1" t="s">
        <v>204</v>
      </c>
      <c r="EP1" t="s">
        <v>911</v>
      </c>
      <c r="EQ1" t="s">
        <v>912</v>
      </c>
      <c r="ER1" t="s">
        <v>209</v>
      </c>
      <c r="ES1" t="s">
        <v>913</v>
      </c>
      <c r="ET1" t="s">
        <v>212</v>
      </c>
      <c r="EU1" t="s">
        <v>914</v>
      </c>
      <c r="EV1" t="s">
        <v>215</v>
      </c>
      <c r="EW1" t="s">
        <v>915</v>
      </c>
      <c r="EX1" t="s">
        <v>218</v>
      </c>
      <c r="EY1" t="s">
        <v>916</v>
      </c>
      <c r="EZ1" t="s">
        <v>917</v>
      </c>
      <c r="FA1" t="s">
        <v>223</v>
      </c>
      <c r="FB1" t="s">
        <v>918</v>
      </c>
      <c r="FC1" t="s">
        <v>226</v>
      </c>
      <c r="FD1" t="s">
        <v>919</v>
      </c>
      <c r="FE1" t="s">
        <v>229</v>
      </c>
      <c r="FF1" t="s">
        <v>920</v>
      </c>
      <c r="FG1" t="s">
        <v>232</v>
      </c>
      <c r="FH1" t="s">
        <v>921</v>
      </c>
      <c r="FI1" t="s">
        <v>922</v>
      </c>
      <c r="FJ1" t="s">
        <v>237</v>
      </c>
      <c r="FK1" t="s">
        <v>923</v>
      </c>
      <c r="FL1" t="s">
        <v>240</v>
      </c>
      <c r="FM1" t="s">
        <v>924</v>
      </c>
      <c r="FN1" t="s">
        <v>925</v>
      </c>
      <c r="FO1" t="s">
        <v>926</v>
      </c>
      <c r="FP1" t="s">
        <v>927</v>
      </c>
      <c r="FQ1" t="s">
        <v>928</v>
      </c>
      <c r="FR1" t="s">
        <v>245</v>
      </c>
      <c r="FS1" t="s">
        <v>929</v>
      </c>
      <c r="FT1" t="s">
        <v>930</v>
      </c>
      <c r="FU1" t="s">
        <v>251</v>
      </c>
      <c r="FV1" t="s">
        <v>931</v>
      </c>
      <c r="FW1" t="s">
        <v>254</v>
      </c>
      <c r="FX1" t="s">
        <v>932</v>
      </c>
      <c r="FY1" t="s">
        <v>257</v>
      </c>
      <c r="FZ1" t="s">
        <v>933</v>
      </c>
      <c r="GA1" t="s">
        <v>934</v>
      </c>
      <c r="GB1" t="s">
        <v>935</v>
      </c>
      <c r="GC1" t="s">
        <v>936</v>
      </c>
      <c r="GD1" t="s">
        <v>937</v>
      </c>
      <c r="GE1" t="s">
        <v>264</v>
      </c>
      <c r="GF1" t="s">
        <v>938</v>
      </c>
      <c r="GG1" t="s">
        <v>267</v>
      </c>
      <c r="GH1" t="s">
        <v>939</v>
      </c>
      <c r="GI1" t="s">
        <v>270</v>
      </c>
      <c r="GJ1" t="s">
        <v>940</v>
      </c>
      <c r="GK1" t="s">
        <v>273</v>
      </c>
      <c r="GL1" t="s">
        <v>941</v>
      </c>
      <c r="GM1" t="s">
        <v>942</v>
      </c>
      <c r="GN1" t="s">
        <v>278</v>
      </c>
      <c r="GO1" t="s">
        <v>943</v>
      </c>
      <c r="GP1" t="s">
        <v>281</v>
      </c>
      <c r="GQ1" t="s">
        <v>944</v>
      </c>
      <c r="GR1" t="s">
        <v>284</v>
      </c>
      <c r="GS1" t="s">
        <v>945</v>
      </c>
      <c r="GT1" t="s">
        <v>287</v>
      </c>
      <c r="GU1" t="s">
        <v>946</v>
      </c>
      <c r="GV1" t="s">
        <v>947</v>
      </c>
      <c r="GW1" t="s">
        <v>292</v>
      </c>
      <c r="GX1" t="s">
        <v>948</v>
      </c>
      <c r="GY1" t="s">
        <v>295</v>
      </c>
      <c r="GZ1" t="s">
        <v>949</v>
      </c>
      <c r="HA1" t="s">
        <v>298</v>
      </c>
      <c r="HB1" t="s">
        <v>950</v>
      </c>
      <c r="HC1" t="s">
        <v>301</v>
      </c>
      <c r="HD1" t="s">
        <v>951</v>
      </c>
      <c r="HE1" t="s">
        <v>952</v>
      </c>
      <c r="HF1" t="s">
        <v>306</v>
      </c>
      <c r="HG1" t="s">
        <v>953</v>
      </c>
      <c r="HH1" t="s">
        <v>309</v>
      </c>
      <c r="HI1" t="s">
        <v>954</v>
      </c>
      <c r="HJ1" t="s">
        <v>312</v>
      </c>
      <c r="HK1" t="s">
        <v>955</v>
      </c>
      <c r="HL1" t="s">
        <v>315</v>
      </c>
      <c r="HM1" t="s">
        <v>956</v>
      </c>
      <c r="HN1" t="s">
        <v>957</v>
      </c>
      <c r="HO1" t="s">
        <v>320</v>
      </c>
      <c r="HP1" t="s">
        <v>958</v>
      </c>
      <c r="HQ1" t="s">
        <v>323</v>
      </c>
      <c r="HR1" t="s">
        <v>959</v>
      </c>
      <c r="HS1" t="s">
        <v>326</v>
      </c>
      <c r="HT1" t="s">
        <v>960</v>
      </c>
      <c r="HU1" t="s">
        <v>329</v>
      </c>
      <c r="HV1" t="s">
        <v>961</v>
      </c>
      <c r="HW1" t="s">
        <v>962</v>
      </c>
      <c r="HX1" t="s">
        <v>334</v>
      </c>
      <c r="HY1" t="s">
        <v>963</v>
      </c>
      <c r="HZ1" t="s">
        <v>337</v>
      </c>
      <c r="IA1" t="s">
        <v>964</v>
      </c>
      <c r="IB1" t="s">
        <v>340</v>
      </c>
      <c r="IC1" t="s">
        <v>965</v>
      </c>
      <c r="ID1" t="s">
        <v>343</v>
      </c>
      <c r="IE1" t="s">
        <v>966</v>
      </c>
      <c r="IF1" t="s">
        <v>967</v>
      </c>
      <c r="IG1" t="s">
        <v>348</v>
      </c>
      <c r="IH1" t="s">
        <v>968</v>
      </c>
      <c r="II1" t="s">
        <v>351</v>
      </c>
      <c r="IJ1" t="s">
        <v>969</v>
      </c>
      <c r="IK1" t="s">
        <v>354</v>
      </c>
      <c r="IL1" t="s">
        <v>970</v>
      </c>
      <c r="IM1" t="s">
        <v>357</v>
      </c>
      <c r="IN1" t="s">
        <v>971</v>
      </c>
      <c r="IO1" t="s">
        <v>972</v>
      </c>
      <c r="IP1" t="s">
        <v>363</v>
      </c>
      <c r="IQ1" t="s">
        <v>973</v>
      </c>
      <c r="IR1" t="s">
        <v>366</v>
      </c>
      <c r="IS1" t="s">
        <v>974</v>
      </c>
      <c r="IT1" t="s">
        <v>369</v>
      </c>
      <c r="IU1" t="s">
        <v>975</v>
      </c>
      <c r="IV1" t="s">
        <v>372</v>
      </c>
      <c r="IW1" t="s">
        <v>976</v>
      </c>
      <c r="IX1" t="s">
        <v>977</v>
      </c>
      <c r="IY1" t="s">
        <v>377</v>
      </c>
      <c r="IZ1" t="s">
        <v>978</v>
      </c>
      <c r="JA1" t="s">
        <v>380</v>
      </c>
      <c r="JB1" t="s">
        <v>979</v>
      </c>
      <c r="JC1" t="s">
        <v>383</v>
      </c>
      <c r="JD1" t="s">
        <v>980</v>
      </c>
      <c r="JE1" t="s">
        <v>386</v>
      </c>
      <c r="JF1" t="s">
        <v>981</v>
      </c>
      <c r="JG1" t="s">
        <v>982</v>
      </c>
      <c r="JH1" t="s">
        <v>391</v>
      </c>
      <c r="JI1" t="s">
        <v>983</v>
      </c>
      <c r="JJ1" t="s">
        <v>394</v>
      </c>
      <c r="JK1" t="s">
        <v>984</v>
      </c>
      <c r="JL1" t="s">
        <v>397</v>
      </c>
      <c r="JM1" t="s">
        <v>985</v>
      </c>
      <c r="JN1" t="s">
        <v>400</v>
      </c>
      <c r="JO1" t="s">
        <v>986</v>
      </c>
      <c r="JP1" t="s">
        <v>987</v>
      </c>
      <c r="JQ1" t="s">
        <v>405</v>
      </c>
      <c r="JR1" t="s">
        <v>988</v>
      </c>
      <c r="JS1" t="s">
        <v>408</v>
      </c>
      <c r="JT1" t="s">
        <v>989</v>
      </c>
      <c r="JU1" t="s">
        <v>411</v>
      </c>
      <c r="JV1" t="s">
        <v>990</v>
      </c>
      <c r="JW1" t="s">
        <v>414</v>
      </c>
      <c r="JX1" t="s">
        <v>991</v>
      </c>
      <c r="JY1" t="s">
        <v>992</v>
      </c>
      <c r="JZ1" t="s">
        <v>419</v>
      </c>
      <c r="KA1" t="s">
        <v>993</v>
      </c>
      <c r="KB1" t="s">
        <v>422</v>
      </c>
      <c r="KC1" t="s">
        <v>994</v>
      </c>
      <c r="KD1" t="s">
        <v>425</v>
      </c>
      <c r="KE1" t="s">
        <v>995</v>
      </c>
      <c r="KF1" t="s">
        <v>428</v>
      </c>
      <c r="KG1" t="s">
        <v>996</v>
      </c>
      <c r="KH1" t="s">
        <v>997</v>
      </c>
      <c r="KI1" t="s">
        <v>432</v>
      </c>
      <c r="KJ1" t="s">
        <v>998</v>
      </c>
      <c r="KK1" t="s">
        <v>434</v>
      </c>
      <c r="KL1" t="s">
        <v>999</v>
      </c>
      <c r="KM1" t="s">
        <v>437</v>
      </c>
      <c r="KN1" t="s">
        <v>1000</v>
      </c>
      <c r="KO1" t="s">
        <v>440</v>
      </c>
      <c r="KP1" t="s">
        <v>1001</v>
      </c>
      <c r="KQ1" t="s">
        <v>1002</v>
      </c>
      <c r="KR1" t="s">
        <v>445</v>
      </c>
      <c r="KS1" t="s">
        <v>1003</v>
      </c>
      <c r="KT1" t="s">
        <v>448</v>
      </c>
      <c r="KU1" t="s">
        <v>1004</v>
      </c>
      <c r="KV1" t="s">
        <v>1005</v>
      </c>
      <c r="KW1" t="s">
        <v>1006</v>
      </c>
      <c r="KX1" t="s">
        <v>1007</v>
      </c>
      <c r="KY1" t="s">
        <v>1008</v>
      </c>
      <c r="KZ1" t="s">
        <v>455</v>
      </c>
      <c r="LA1" t="s">
        <v>1009</v>
      </c>
      <c r="LB1" t="s">
        <v>458</v>
      </c>
      <c r="LC1" t="s">
        <v>1010</v>
      </c>
      <c r="LD1" t="s">
        <v>461</v>
      </c>
      <c r="LE1" t="s">
        <v>1011</v>
      </c>
      <c r="LF1" t="s">
        <v>464</v>
      </c>
      <c r="LG1" t="s">
        <v>1012</v>
      </c>
      <c r="LH1" t="s">
        <v>1013</v>
      </c>
      <c r="LI1" t="s">
        <v>1014</v>
      </c>
      <c r="LJ1" t="s">
        <v>1015</v>
      </c>
      <c r="LK1" t="s">
        <v>1016</v>
      </c>
      <c r="LL1" t="s">
        <v>1017</v>
      </c>
      <c r="LM1" t="s">
        <v>1018</v>
      </c>
      <c r="LN1" t="s">
        <v>1019</v>
      </c>
      <c r="LO1" t="s">
        <v>1020</v>
      </c>
      <c r="LP1" t="s">
        <v>1021</v>
      </c>
      <c r="LQ1" t="s">
        <v>1022</v>
      </c>
      <c r="LR1" t="s">
        <v>1023</v>
      </c>
      <c r="LS1" t="s">
        <v>1024</v>
      </c>
      <c r="LT1" t="s">
        <v>1025</v>
      </c>
      <c r="LU1" t="s">
        <v>1026</v>
      </c>
      <c r="LV1" t="s">
        <v>1027</v>
      </c>
      <c r="LW1" t="s">
        <v>1028</v>
      </c>
      <c r="LX1" t="s">
        <v>1029</v>
      </c>
      <c r="LY1" t="s">
        <v>1030</v>
      </c>
      <c r="LZ1" t="s">
        <v>1031</v>
      </c>
      <c r="MA1" t="s">
        <v>1032</v>
      </c>
      <c r="MB1" t="s">
        <v>1033</v>
      </c>
      <c r="MC1" t="s">
        <v>1034</v>
      </c>
      <c r="MD1" t="s">
        <v>1035</v>
      </c>
      <c r="ME1" t="s">
        <v>1036</v>
      </c>
    </row>
    <row r="2" spans="1:343" x14ac:dyDescent="0.25">
      <c r="A2" t="s">
        <v>1044</v>
      </c>
      <c r="B2" s="116">
        <v>46283</v>
      </c>
      <c r="C2" t="s">
        <v>1045</v>
      </c>
      <c r="D2" t="s">
        <v>1046</v>
      </c>
      <c r="E2" t="s">
        <v>1038</v>
      </c>
      <c r="F2" t="s">
        <v>1047</v>
      </c>
      <c r="G2">
        <v>171</v>
      </c>
      <c r="H2">
        <v>171</v>
      </c>
      <c r="I2">
        <v>0</v>
      </c>
      <c r="J2" t="s">
        <v>1048</v>
      </c>
      <c r="K2" t="s">
        <v>1049</v>
      </c>
      <c r="L2" t="s">
        <v>1040</v>
      </c>
      <c r="N2">
        <v>1</v>
      </c>
      <c r="P2">
        <v>0</v>
      </c>
      <c r="R2">
        <v>1</v>
      </c>
      <c r="T2" t="s">
        <v>510</v>
      </c>
      <c r="W2">
        <v>1</v>
      </c>
      <c r="Y2">
        <v>1</v>
      </c>
      <c r="AA2">
        <v>1</v>
      </c>
      <c r="AC2">
        <v>1</v>
      </c>
      <c r="AF2">
        <v>1</v>
      </c>
      <c r="AH2">
        <v>1</v>
      </c>
      <c r="AJ2">
        <v>0</v>
      </c>
      <c r="AK2">
        <v>171</v>
      </c>
      <c r="AL2" t="s">
        <v>1050</v>
      </c>
      <c r="AM2">
        <v>0</v>
      </c>
      <c r="AP2" t="s">
        <v>510</v>
      </c>
      <c r="AR2" t="s">
        <v>510</v>
      </c>
      <c r="AT2" t="s">
        <v>510</v>
      </c>
      <c r="AV2">
        <v>1</v>
      </c>
      <c r="AY2">
        <v>1</v>
      </c>
      <c r="BA2">
        <v>1</v>
      </c>
      <c r="BC2">
        <v>1</v>
      </c>
      <c r="BE2">
        <v>0</v>
      </c>
      <c r="BH2">
        <v>1</v>
      </c>
      <c r="BJ2">
        <v>55</v>
      </c>
      <c r="BK2">
        <v>171</v>
      </c>
      <c r="BM2">
        <v>1</v>
      </c>
      <c r="BO2">
        <v>171</v>
      </c>
      <c r="BP2">
        <v>171</v>
      </c>
      <c r="BS2">
        <v>10</v>
      </c>
      <c r="BT2">
        <v>171</v>
      </c>
      <c r="BV2" t="s">
        <v>1051</v>
      </c>
      <c r="BZ2">
        <v>5</v>
      </c>
      <c r="CB2">
        <v>1</v>
      </c>
      <c r="CE2">
        <v>1</v>
      </c>
      <c r="CG2">
        <v>1</v>
      </c>
      <c r="CI2">
        <v>1</v>
      </c>
      <c r="CK2">
        <v>1</v>
      </c>
      <c r="CN2">
        <v>1</v>
      </c>
      <c r="CP2">
        <v>1</v>
      </c>
      <c r="CR2">
        <v>1</v>
      </c>
      <c r="CT2">
        <v>1</v>
      </c>
      <c r="CW2" t="s">
        <v>510</v>
      </c>
      <c r="CY2">
        <v>1</v>
      </c>
      <c r="DA2" t="s">
        <v>510</v>
      </c>
      <c r="DC2" t="s">
        <v>510</v>
      </c>
      <c r="DD2" t="s">
        <v>1052</v>
      </c>
      <c r="DF2">
        <v>1</v>
      </c>
      <c r="DH2" t="s">
        <v>1041</v>
      </c>
      <c r="DI2">
        <v>4</v>
      </c>
      <c r="DJ2">
        <v>4</v>
      </c>
      <c r="DL2">
        <v>1</v>
      </c>
      <c r="DN2">
        <v>1</v>
      </c>
      <c r="DQ2">
        <v>4</v>
      </c>
      <c r="DS2" t="s">
        <v>510</v>
      </c>
      <c r="DU2">
        <v>1</v>
      </c>
      <c r="DW2">
        <v>1</v>
      </c>
      <c r="DZ2">
        <v>1</v>
      </c>
      <c r="EB2">
        <v>1</v>
      </c>
      <c r="ED2">
        <v>0</v>
      </c>
      <c r="EF2">
        <v>1</v>
      </c>
      <c r="EI2">
        <v>1</v>
      </c>
      <c r="EK2">
        <v>1</v>
      </c>
      <c r="EM2">
        <v>1</v>
      </c>
      <c r="EO2">
        <v>1</v>
      </c>
      <c r="ER2">
        <v>1</v>
      </c>
      <c r="ET2">
        <v>1</v>
      </c>
      <c r="EV2">
        <v>0</v>
      </c>
      <c r="EX2">
        <v>0</v>
      </c>
      <c r="FA2">
        <v>1</v>
      </c>
      <c r="FC2" t="s">
        <v>510</v>
      </c>
      <c r="FE2">
        <v>1</v>
      </c>
      <c r="FG2">
        <v>1</v>
      </c>
      <c r="FJ2">
        <v>0</v>
      </c>
      <c r="FL2">
        <v>0</v>
      </c>
      <c r="FN2" t="s">
        <v>1041</v>
      </c>
      <c r="FO2">
        <v>0</v>
      </c>
      <c r="FP2">
        <v>4</v>
      </c>
      <c r="FR2">
        <v>0</v>
      </c>
      <c r="FU2">
        <v>1</v>
      </c>
      <c r="FW2">
        <v>1</v>
      </c>
      <c r="FY2">
        <v>1</v>
      </c>
      <c r="GA2">
        <v>0</v>
      </c>
      <c r="GB2">
        <v>171</v>
      </c>
      <c r="GC2" t="s">
        <v>1053</v>
      </c>
      <c r="GE2">
        <v>1</v>
      </c>
      <c r="GG2">
        <v>1</v>
      </c>
      <c r="GI2">
        <v>1</v>
      </c>
      <c r="GK2">
        <v>1</v>
      </c>
      <c r="GN2">
        <v>1</v>
      </c>
      <c r="GP2">
        <v>1</v>
      </c>
      <c r="GR2">
        <v>1</v>
      </c>
      <c r="GT2" t="s">
        <v>510</v>
      </c>
      <c r="GW2">
        <v>1</v>
      </c>
      <c r="GY2">
        <v>1</v>
      </c>
      <c r="HA2">
        <v>1</v>
      </c>
      <c r="HC2">
        <v>1</v>
      </c>
      <c r="HF2">
        <v>1</v>
      </c>
      <c r="HH2">
        <v>1</v>
      </c>
      <c r="HJ2">
        <v>1</v>
      </c>
      <c r="HL2" t="s">
        <v>510</v>
      </c>
      <c r="HO2">
        <v>1</v>
      </c>
      <c r="HQ2">
        <v>3</v>
      </c>
      <c r="HS2">
        <v>1</v>
      </c>
      <c r="HU2">
        <v>0</v>
      </c>
      <c r="HX2">
        <v>1</v>
      </c>
      <c r="HZ2">
        <v>1</v>
      </c>
      <c r="IB2">
        <v>1</v>
      </c>
      <c r="ID2">
        <v>1</v>
      </c>
      <c r="IG2">
        <v>1</v>
      </c>
      <c r="II2">
        <v>1</v>
      </c>
      <c r="IK2">
        <v>1</v>
      </c>
      <c r="IM2">
        <v>1</v>
      </c>
      <c r="IP2">
        <v>1</v>
      </c>
      <c r="IR2">
        <v>0</v>
      </c>
      <c r="IT2">
        <v>1</v>
      </c>
      <c r="IV2">
        <v>1</v>
      </c>
      <c r="IY2">
        <v>1</v>
      </c>
      <c r="JA2">
        <v>1</v>
      </c>
      <c r="JC2">
        <v>1</v>
      </c>
      <c r="JE2">
        <v>1</v>
      </c>
      <c r="JH2">
        <v>1</v>
      </c>
      <c r="JJ2">
        <v>1</v>
      </c>
      <c r="JL2" t="s">
        <v>510</v>
      </c>
      <c r="JN2">
        <v>1</v>
      </c>
      <c r="JQ2">
        <v>1</v>
      </c>
      <c r="JS2">
        <v>1</v>
      </c>
      <c r="JU2">
        <v>0</v>
      </c>
      <c r="JW2">
        <v>1</v>
      </c>
      <c r="JZ2">
        <v>1</v>
      </c>
      <c r="KB2">
        <v>1</v>
      </c>
      <c r="KD2">
        <v>1</v>
      </c>
      <c r="KF2" t="s">
        <v>510</v>
      </c>
      <c r="KI2">
        <v>1</v>
      </c>
      <c r="KK2">
        <v>1</v>
      </c>
      <c r="KM2" t="s">
        <v>510</v>
      </c>
      <c r="KO2" t="s">
        <v>510</v>
      </c>
      <c r="KR2">
        <v>1</v>
      </c>
      <c r="KT2" t="s">
        <v>510</v>
      </c>
      <c r="KV2">
        <v>0</v>
      </c>
      <c r="KW2">
        <v>171</v>
      </c>
      <c r="KX2" t="s">
        <v>1054</v>
      </c>
      <c r="KZ2">
        <v>1</v>
      </c>
      <c r="LB2">
        <v>1</v>
      </c>
      <c r="LD2">
        <v>1</v>
      </c>
      <c r="LF2">
        <v>0</v>
      </c>
      <c r="LH2" t="s">
        <v>1055</v>
      </c>
      <c r="LI2" s="117" t="s">
        <v>1056</v>
      </c>
      <c r="LJ2" t="s">
        <v>76</v>
      </c>
      <c r="LK2" t="s">
        <v>1057</v>
      </c>
      <c r="LL2" s="117" t="s">
        <v>1058</v>
      </c>
      <c r="LM2" t="s">
        <v>381</v>
      </c>
      <c r="LW2">
        <v>876592161</v>
      </c>
      <c r="LX2" t="s">
        <v>1059</v>
      </c>
      <c r="LY2" s="116">
        <v>46288.870752314811</v>
      </c>
      <c r="MA2" t="s">
        <v>1042</v>
      </c>
      <c r="MC2" t="s">
        <v>1043</v>
      </c>
      <c r="MD2" t="s">
        <v>1060</v>
      </c>
      <c r="ME2">
        <v>2</v>
      </c>
    </row>
  </sheetData>
  <hyperlinks>
    <hyperlink ref="LI2" r:id="rId1" xr:uid="{AB4D3006-8C10-47CA-A0EE-9402F5963BD7}"/>
    <hyperlink ref="LL2" r:id="rId2" xr:uid="{95A1B07B-F334-4E37-AF0C-FDA0A848BF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2339-1D6D-4A16-8F93-B4B431BD7402}">
  <dimension ref="A1:R149"/>
  <sheetViews>
    <sheetView tabSelected="1" workbookViewId="0">
      <selection activeCell="B6" sqref="B6"/>
    </sheetView>
  </sheetViews>
  <sheetFormatPr baseColWidth="10" defaultRowHeight="15" x14ac:dyDescent="0.25"/>
  <cols>
    <col min="1" max="1" width="32.7109375" bestFit="1" customWidth="1"/>
    <col min="2" max="2" width="22.28515625" bestFit="1" customWidth="1"/>
    <col min="4" max="4" width="16.5703125" bestFit="1" customWidth="1"/>
    <col min="5" max="5" width="23.28515625" bestFit="1" customWidth="1"/>
    <col min="6" max="6" width="32" bestFit="1" customWidth="1"/>
    <col min="7" max="7" width="23.28515625" bestFit="1" customWidth="1"/>
    <col min="8" max="8" width="32" bestFit="1" customWidth="1"/>
    <col min="9" max="9" width="21.85546875" bestFit="1" customWidth="1"/>
    <col min="10" max="10" width="30.42578125" bestFit="1" customWidth="1"/>
    <col min="11" max="11" width="13.7109375" bestFit="1" customWidth="1"/>
    <col min="12" max="12" width="17.7109375" bestFit="1" customWidth="1"/>
  </cols>
  <sheetData>
    <row r="1" spans="1:18" ht="26.25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15.75" x14ac:dyDescent="0.25">
      <c r="A2" s="4"/>
      <c r="B2" s="4"/>
    </row>
    <row r="3" spans="1:18" ht="15.75" x14ac:dyDescent="0.25">
      <c r="A3" s="4"/>
      <c r="B3" s="4"/>
    </row>
    <row r="4" spans="1:18" ht="15.75" x14ac:dyDescent="0.25">
      <c r="A4" s="19" t="s">
        <v>473</v>
      </c>
      <c r="B4" s="118" t="s">
        <v>1044</v>
      </c>
      <c r="D4" s="32" t="s">
        <v>511</v>
      </c>
      <c r="E4" s="33">
        <f ca="1">COUNTIF($K$19:$K$149,"OK")</f>
        <v>0</v>
      </c>
    </row>
    <row r="5" spans="1:18" ht="15.75" x14ac:dyDescent="0.25">
      <c r="A5" s="19" t="s">
        <v>474</v>
      </c>
      <c r="B5" s="119">
        <v>46283</v>
      </c>
      <c r="D5" s="32" t="s">
        <v>512</v>
      </c>
      <c r="E5" s="30">
        <f ca="1">COUNTIF($K$19:$K$149,"NA")</f>
        <v>0</v>
      </c>
    </row>
    <row r="6" spans="1:18" ht="15.75" x14ac:dyDescent="0.25">
      <c r="A6" s="19" t="s">
        <v>475</v>
      </c>
      <c r="B6" s="120">
        <f ca="1">IF($B$17=0,"",IFERROR(INDEX(IMP_DONNEES,$B$17,MATCH("type_ouvrage",IMP_ENTETES,0)),""))</f>
      </c>
      <c r="D6" s="32" t="s">
        <v>513</v>
      </c>
      <c r="E6" s="31">
        <f ca="1">COUNTIF($K$19:$K$149,"Manquant")</f>
        <v>0</v>
      </c>
    </row>
    <row r="7" spans="1:18" ht="15.75" x14ac:dyDescent="0.25">
      <c r="A7" s="19" t="s">
        <v>476</v>
      </c>
      <c r="B7" s="120">
        <f ca="1">IF($B$17=0,"",IFERROR(INDEX(IMP_DONNEES,$B$17,MATCH("phase",IMP_ENTETES,0)),""))</f>
      </c>
      <c r="D7" s="32" t="s">
        <v>514</v>
      </c>
      <c r="E7" s="31">
        <f ca="1">SUMPRODUCT(($K$19:$K$149&lt;&gt;"")*($K$19:$K$149&lt;&gt;"OK")*($K$19:$K$149&lt;&gt;"NA")*($K$19:$K$149&lt;&gt;"Manquant"))</f>
      </c>
    </row>
    <row r="8" spans="1:18" ht="15.75" x14ac:dyDescent="0.25">
      <c r="A8" s="19" t="s">
        <v>507</v>
      </c>
      <c r="B8" s="120">
        <f ca="1">IF($B$17=0,"",IFERROR(INDEX(IMP_DONNEES,$B$17,MATCH("effectif_total",IMP_ENTETES,0)),""))</f>
      </c>
      <c r="D8" s="32" t="s">
        <v>515</v>
      </c>
      <c r="E8" s="30">
        <f ca="1">E4+E5+E6+E7</f>
      </c>
    </row>
    <row r="9" spans="1:18" ht="15.75" x14ac:dyDescent="0.25">
      <c r="A9" s="19" t="s">
        <v>477</v>
      </c>
      <c r="B9" s="120">
        <f ca="1">IF($B$17=0,"",IFERROR(INDEX(IMP_DONNEES,$B$17,MATCH("effectif_h",IMP_ENTETES,0)),""))</f>
      </c>
    </row>
    <row r="10" spans="1:18" ht="15.75" x14ac:dyDescent="0.25">
      <c r="A10" s="19" t="s">
        <v>478</v>
      </c>
      <c r="B10" s="120">
        <f ca="1">IF($B$17=0,"",IFERROR(INDEX(IMP_DONNEES,$B$17,MATCH("effectif_f",IMP_ENTETES,0)),""))</f>
      </c>
      <c r="K10" t="s">
        <v>499</v>
      </c>
    </row>
    <row r="11" spans="1:18" ht="15.75" x14ac:dyDescent="0.25">
      <c r="A11" s="19" t="s">
        <v>796</v>
      </c>
      <c r="B11" s="120">
        <f ca="1">IF($B$17=0,"",IFERROR(INDEX(IMP_DONNEES,$B$17,MATCH("entreprise",IMP_ENTETES,0)),""))</f>
      </c>
    </row>
    <row r="12" spans="1:18" ht="15.75" x14ac:dyDescent="0.25">
      <c r="A12" s="19" t="s">
        <v>479</v>
      </c>
      <c r="B12" s="120">
        <f ca="1">IF($B$17=0,"",IFERROR(INDEX(IMP_DONNEES,$B$17,MATCH("observateur",IMP_ENTETES,0)),""))</f>
      </c>
    </row>
    <row r="13" spans="1:18" ht="15.75" x14ac:dyDescent="0.25">
      <c r="A13" s="19" t="s">
        <v>480</v>
      </c>
      <c r="B13" s="120">
        <f ca="1">IF($B$17=0,"",IFERROR(INDEX(IMP_DONNEES,$B$17,MATCH("meteo_24h",IMP_ENTETES,0)),""))</f>
      </c>
    </row>
    <row r="14" spans="1:18" ht="15.75" x14ac:dyDescent="0.25">
      <c r="A14" s="19" t="s">
        <v>481</v>
      </c>
      <c r="B14" s="120">
        <f ca="1">IF($B$17=0,"",IFERROR(INDEX(IMP_DONNEES,$B$17,MATCH("heure_debut",IMP_ENTETES,0)),""))</f>
      </c>
    </row>
    <row r="15" spans="1:18" ht="15.75" x14ac:dyDescent="0.25">
      <c r="A15" s="19" t="s">
        <v>482</v>
      </c>
      <c r="B15" s="120">
        <f ca="1">IF($B$17=0,"",IFERROR(INDEX(IMP_DONNEES,$B$17,MATCH("heure_fin",IMP_ENTETES,0)),""))</f>
      </c>
    </row>
    <row r="16" spans="1:18" ht="15.75" x14ac:dyDescent="0.25">
      <c r="A16" s="19" t="s">
        <v>483</v>
      </c>
      <c r="B16" s="121">
        <f ca="1">IF(OR($B$14="",$B$15=""),"",TEXT(IFERROR(TIMEVALUE(LEFT($B$15,5)),$B$15)-IFERROR(TIMEVALUE(LEFT($B$14,5)),$B$14),"[h]:mm"))</f>
      </c>
    </row>
    <row r="17" spans="1:13" ht="15.75" x14ac:dyDescent="0.25">
      <c r="A17" s="21" t="s">
        <v>494</v>
      </c>
      <c r="B17" s="122">
        <f ca="1">IF(OR($B$4="",$B$5=""),0,SUMPRODUCT((INDEX(OFFSET(IMPORT!$A$1,1,0,999,1000),0,MATCH("code_chantier",IMP_ENTETES,0))=$B$4)*(TEXT(INDEX(OFFSET(IMPORT!$A$1,1,0,999,1000),0,MATCH("date_visite",IMP_ENTETES,0)),"yyyy-mm-dd")=TEXT($B$5,"yyyy-mm-dd"))*ROW(OFFSET(IMPORT!$A$1,1,0,999,1))))</f>
      </c>
    </row>
    <row r="18" spans="1:13" ht="15.75" x14ac:dyDescent="0.25">
      <c r="A18" s="25" t="s">
        <v>484</v>
      </c>
      <c r="B18" s="26" t="s">
        <v>485</v>
      </c>
      <c r="C18" s="26" t="s">
        <v>5</v>
      </c>
      <c r="D18" s="26" t="s">
        <v>469</v>
      </c>
      <c r="E18" s="26" t="s">
        <v>486</v>
      </c>
      <c r="F18" s="26" t="s">
        <v>487</v>
      </c>
      <c r="G18" s="27" t="s">
        <v>488</v>
      </c>
      <c r="H18" s="27" t="s">
        <v>489</v>
      </c>
      <c r="I18" s="26" t="s">
        <v>490</v>
      </c>
      <c r="J18" s="26" t="s">
        <v>491</v>
      </c>
      <c r="K18" s="26" t="s">
        <v>492</v>
      </c>
      <c r="L18" s="26" t="s">
        <v>493</v>
      </c>
      <c r="M18" s="20"/>
    </row>
    <row r="19" spans="1:13" ht="15.75" x14ac:dyDescent="0.25">
      <c r="A19" s="22" t="str">
        <f>REFERENTIEL!E4</f>
        <v>SA-PRV-1.1</v>
      </c>
      <c r="B19" s="22" t="str">
        <f>REFERENTIEL!F4</f>
        <v>Présence d'un moyen d'arrosage en état de fonctionner et affecté au chantier</v>
      </c>
      <c r="C19" s="22" t="str">
        <f>REFERENTIEL!H4</f>
        <v>Binaire</v>
      </c>
      <c r="D19" s="22" t="str">
        <f>REFERENTIEL!I4</f>
        <v>NON</v>
      </c>
      <c r="E19" s="24">
        <f ca="1">IF($B$17=0,"",IF($C19&lt;&gt;"Taux",IFERROR(INDEX(IMP_DONNEES,$B$17,MATCH(REFERENTIEL!G4,IMP_ENTETES,0)),""),IF(IFERROR(INDEX(IMP_DONNEES,$B$17,MATCH(REFERENTIEL!G4&amp;"_statut",IMP_ENTETES,0)),"")="N","NA",IFERROR(INDEX(IMP_DONNEES,$B$17,MATCH(REFERENTIEL!G4&amp;"_num",IMP_ENTETES,0)),""))))</f>
      </c>
      <c r="F19" s="24">
        <f ca="1">IF($B$17=0,"",IF($C19&lt;&gt;"Taux","",IFERROR(INDEX(IMP_DONNEES,$B$17,MATCH(REFERENTIEL!G4&amp;"_den",IMP_ENTETES,0)),"")))</f>
      </c>
      <c r="G19" s="111"/>
      <c r="H19" s="111"/>
      <c r="I19" s="28">
        <f ca="1">IF($B$17=0,"",IF($G19&lt;&gt;"",IF($G19="NA","",$G19),IF(OR($E19="",$E19="NA"),"",IFERROR($E19*1,""))))</f>
      </c>
      <c r="J19" s="28" t="str">
        <f>IF($C19&lt;&gt;"Taux","",IF($H19&lt;&gt;"",$H19,IF($F19="","",IFERROR($F19*1,""))))</f>
        <v/>
      </c>
      <c r="K19" s="23">
        <f ca="1">IF($B$17=0,"",IF(OR($G19="NA",AND($G19="",$E19="NA")),IF($D19="OUI","NA","NA interdit"),IF($I19="","Manquant",IF($C19="Binaire",IF(OR($I19=0,$I19=1),"OK","Hors champ"),IF($C19="Maturité",IF(AND($I19&gt;=1,$I19&lt;=5,INT($I19)=$I19),"OK","Hors champ"),IF($I19&lt;0,"Hors champ",IF(OR($J19="",NOT(ISNUMBER($J19)),$J19&lt;=0),"Dén. invalide",IF($I19&gt;$J19,"Num. &gt; dén.","OK"))))))))</f>
      </c>
      <c r="L19" s="28">
        <f ca="1">IF($B$17=0,"",IFERROR(INDEX(IMP_DONNEES,$B$17,MATCH(REFERENTIEL!G4&amp;"_obs",IMP_ENTETES,0)),""))</f>
      </c>
    </row>
    <row r="20" spans="1:13" ht="15.75" x14ac:dyDescent="0.25">
      <c r="A20" s="22" t="str">
        <f>REFERENTIEL!E5</f>
        <v>SA-PRV-1.2</v>
      </c>
      <c r="B20" s="22" t="str">
        <f>REFERENTIEL!F5</f>
        <v>Présence de bâches ou de couverture sur les stocks de matériaux fins</v>
      </c>
      <c r="C20" s="22" t="str">
        <f>REFERENTIEL!H5</f>
        <v>Binaire</v>
      </c>
      <c r="D20" s="22" t="str">
        <f>REFERENTIEL!I5</f>
        <v>OUI</v>
      </c>
      <c r="E20" s="24">
        <f ca="1">IF($B$17=0,"",IF($C20&lt;&gt;"Taux",IFERROR(INDEX(IMP_DONNEES,$B$17,MATCH(REFERENTIEL!G5,IMP_ENTETES,0)),""),IF(IFERROR(INDEX(IMP_DONNEES,$B$17,MATCH(REFERENTIEL!G5&amp;"_statut",IMP_ENTETES,0)),"")="N","NA",IFERROR(INDEX(IMP_DONNEES,$B$17,MATCH(REFERENTIEL!G5&amp;"_num",IMP_ENTETES,0)),""))))</f>
      </c>
      <c r="F20" s="24">
        <f ca="1">IF($B$17=0,"",IF($C20&lt;&gt;"Taux","",IFERROR(INDEX(IMP_DONNEES,$B$17,MATCH(REFERENTIEL!G5&amp;"_den",IMP_ENTETES,0)),"")))</f>
      </c>
      <c r="G20" s="111"/>
      <c r="H20" s="111"/>
      <c r="I20" s="28">
        <f t="shared" ref="I20:I83" ca="1" si="0">IF($B$17=0,"",IF($G20&lt;&gt;"",IF($G20="NA","",$G20),IF(OR($E20="",$E20="NA"),"",IFERROR($E20*1,""))))</f>
      </c>
      <c r="J20" s="28" t="str">
        <f t="shared" ref="J20:J83" si="1">IF($C20&lt;&gt;"Taux","",IF($H20&lt;&gt;"",$H20,IF($F20="","",IFERROR($F20*1,""))))</f>
        <v/>
      </c>
      <c r="K20" s="23">
        <f t="shared" ref="K20:K83" ca="1" si="2">IF($B$17=0,"",IF(OR($G20="NA",AND($G20="",$E20="NA")),IF($D20="OUI","NA","NA interdit"),IF($I20="","Manquant",IF($C20="Binaire",IF(OR($I20=0,$I20=1),"OK","Hors champ"),IF($C20="Maturité",IF(AND($I20&gt;=1,$I20&lt;=5,INT($I20)=$I20),"OK","Hors champ"),IF($I20&lt;0,"Hors champ",IF(OR($J20="",NOT(ISNUMBER($J20)),$J20&lt;=0),"Dén. invalide",IF($I20&gt;$J20,"Num. &gt; dén.","OK"))))))))</f>
      </c>
      <c r="L20" s="28">
        <f ca="1">IF($B$17=0,"",IFERROR(INDEX(IMP_DONNEES,$B$17,MATCH(REFERENTIEL!G5&amp;"_obs",IMP_ENTETES,0)),""))</f>
      </c>
    </row>
    <row r="21" spans="1:13" ht="15.75" x14ac:dyDescent="0.25">
      <c r="A21" s="22" t="str">
        <f>REFERENTIEL!E6</f>
        <v>SA-PRV-1.3</v>
      </c>
      <c r="B21" s="22" t="str">
        <f>REFERENTIEL!F6</f>
        <v>Absence de nuage de poussière constaté au cours de la visite</v>
      </c>
      <c r="C21" s="22" t="str">
        <f>REFERENTIEL!H6</f>
        <v>Binaire</v>
      </c>
      <c r="D21" s="22" t="str">
        <f>REFERENTIEL!I6</f>
        <v>NON</v>
      </c>
      <c r="E21" s="24">
        <f ca="1">IF($B$17=0,"",IF($C21&lt;&gt;"Taux",IFERROR(INDEX(IMP_DONNEES,$B$17,MATCH(REFERENTIEL!G6,IMP_ENTETES,0)),""),IF(IFERROR(INDEX(IMP_DONNEES,$B$17,MATCH(REFERENTIEL!G6&amp;"_statut",IMP_ENTETES,0)),"")="N","NA",IFERROR(INDEX(IMP_DONNEES,$B$17,MATCH(REFERENTIEL!G6&amp;"_num",IMP_ENTETES,0)),""))))</f>
      </c>
      <c r="F21" s="24">
        <f ca="1">IF($B$17=0,"",IF($C21&lt;&gt;"Taux","",IFERROR(INDEX(IMP_DONNEES,$B$17,MATCH(REFERENTIEL!G6&amp;"_den",IMP_ENTETES,0)),"")))</f>
      </c>
      <c r="G21" s="111"/>
      <c r="H21" s="111"/>
      <c r="I21" s="28">
        <f t="shared" ca="1" si="0"/>
      </c>
      <c r="J21" s="28" t="str">
        <f>IF($C21&lt;&gt;"Taux","",IF($H21&lt;&gt;"",$H21,IF($F21="","",IFERROR($F21*1,""))))</f>
        <v/>
      </c>
      <c r="K21" s="23">
        <f t="shared" ca="1" si="2"/>
      </c>
      <c r="L21" s="28">
        <f ca="1">IF($B$17=0,"",IFERROR(INDEX(IMP_DONNEES,$B$17,MATCH(REFERENTIEL!G6&amp;"_obs",IMP_ENTETES,0)),""))</f>
      </c>
    </row>
    <row r="22" spans="1:13" ht="15.75" x14ac:dyDescent="0.25">
      <c r="A22" s="22" t="str">
        <f>REFERENTIEL!E7</f>
        <v>SA-PRV-1.4</v>
      </c>
      <c r="B22" s="22" t="str">
        <f>REFERENTIEL!F7</f>
        <v>Présence d’eau au poste de découpe humide</v>
      </c>
      <c r="C22" s="22" t="str">
        <f>REFERENTIEL!H7</f>
        <v>Binaire</v>
      </c>
      <c r="D22" s="22" t="str">
        <f>REFERENTIEL!I7</f>
        <v>OUI</v>
      </c>
      <c r="E22" s="24">
        <f ca="1">IF($B$17=0,"",IF($C22&lt;&gt;"Taux",IFERROR(INDEX(IMP_DONNEES,$B$17,MATCH(REFERENTIEL!G7,IMP_ENTETES,0)),""),IF(IFERROR(INDEX(IMP_DONNEES,$B$17,MATCH(REFERENTIEL!G7&amp;"_statut",IMP_ENTETES,0)),"")="N","NA",IFERROR(INDEX(IMP_DONNEES,$B$17,MATCH(REFERENTIEL!G7&amp;"_num",IMP_ENTETES,0)),""))))</f>
      </c>
      <c r="F22" s="24">
        <f ca="1">IF($B$17=0,"",IF($C22&lt;&gt;"Taux","",IFERROR(INDEX(IMP_DONNEES,$B$17,MATCH(REFERENTIEL!G7&amp;"_den",IMP_ENTETES,0)),"")))</f>
      </c>
      <c r="G22" s="111"/>
      <c r="H22" s="111"/>
      <c r="I22" s="28">
        <f t="shared" ca="1" si="0"/>
      </c>
      <c r="J22" s="28" t="str">
        <f t="shared" si="1"/>
        <v/>
      </c>
      <c r="K22" s="23">
        <f t="shared" ca="1" si="2"/>
      </c>
      <c r="L22" s="28">
        <f ca="1">IF($B$17=0,"",IFERROR(INDEX(IMP_DONNEES,$B$17,MATCH(REFERENTIEL!G7&amp;"_obs",IMP_ENTETES,0)),""))</f>
      </c>
    </row>
    <row r="23" spans="1:13" ht="15.75" x14ac:dyDescent="0.25">
      <c r="A23" s="22" t="str">
        <f>REFERENTIEL!E8</f>
        <v>SA-PRV-2.1</v>
      </c>
      <c r="B23" s="22" t="str">
        <f>REFERENTIEL!F8</f>
        <v>Présence d'un planning de nettoyage du chantier</v>
      </c>
      <c r="C23" s="22" t="str">
        <f>REFERENTIEL!H8</f>
        <v>Binaire</v>
      </c>
      <c r="D23" s="22" t="str">
        <f>REFERENTIEL!I8</f>
        <v>NON</v>
      </c>
      <c r="E23" s="24">
        <f ca="1">IF($B$17=0,"",IF($C23&lt;&gt;"Taux",IFERROR(INDEX(IMP_DONNEES,$B$17,MATCH(REFERENTIEL!G8,IMP_ENTETES,0)),""),IF(IFERROR(INDEX(IMP_DONNEES,$B$17,MATCH(REFERENTIEL!G8&amp;"_statut",IMP_ENTETES,0)),"")="N","NA",IFERROR(INDEX(IMP_DONNEES,$B$17,MATCH(REFERENTIEL!G8&amp;"_num",IMP_ENTETES,0)),""))))</f>
      </c>
      <c r="F23" s="24">
        <f ca="1">IF($B$17=0,"",IF($C23&lt;&gt;"Taux","",IFERROR(INDEX(IMP_DONNEES,$B$17,MATCH(REFERENTIEL!G8&amp;"_den",IMP_ENTETES,0)),"")))</f>
      </c>
      <c r="G23" s="111"/>
      <c r="H23" s="111"/>
      <c r="I23" s="28">
        <f t="shared" ca="1" si="0"/>
      </c>
      <c r="J23" s="28" t="str">
        <f t="shared" si="1"/>
        <v/>
      </c>
      <c r="K23" s="23">
        <f t="shared" ca="1" si="2"/>
      </c>
      <c r="L23" s="28">
        <f ca="1">IF($B$17=0,"",IFERROR(INDEX(IMP_DONNEES,$B$17,MATCH(REFERENTIEL!G8&amp;"_obs",IMP_ENTETES,0)),""))</f>
      </c>
    </row>
    <row r="24" spans="1:13" ht="15.75" x14ac:dyDescent="0.25">
      <c r="A24" s="22" t="str">
        <f>REFERENTIEL!E9</f>
        <v>SA-PRV-2.2</v>
      </c>
      <c r="B24" s="22" t="str">
        <f>REFERENTIEL!F9</f>
        <v>Absence de déchets alimentaires ou de restes de repas abandonnés sur l'emprise</v>
      </c>
      <c r="C24" s="22" t="str">
        <f>REFERENTIEL!H9</f>
        <v>Binaire</v>
      </c>
      <c r="D24" s="22" t="str">
        <f>REFERENTIEL!I9</f>
        <v>NON</v>
      </c>
      <c r="E24" s="24">
        <f ca="1">IF($B$17=0,"",IF($C24&lt;&gt;"Taux",IFERROR(INDEX(IMP_DONNEES,$B$17,MATCH(REFERENTIEL!G9,IMP_ENTETES,0)),""),IF(IFERROR(INDEX(IMP_DONNEES,$B$17,MATCH(REFERENTIEL!G9&amp;"_statut",IMP_ENTETES,0)),"")="N","NA",IFERROR(INDEX(IMP_DONNEES,$B$17,MATCH(REFERENTIEL!G9&amp;"_num",IMP_ENTETES,0)),""))))</f>
      </c>
      <c r="F24" s="24">
        <f ca="1">IF($B$17=0,"",IF($C24&lt;&gt;"Taux","",IFERROR(INDEX(IMP_DONNEES,$B$17,MATCH(REFERENTIEL!G9&amp;"_den",IMP_ENTETES,0)),"")))</f>
      </c>
      <c r="G24" s="111"/>
      <c r="H24" s="111"/>
      <c r="I24" s="28">
        <f t="shared" ca="1" si="0"/>
      </c>
      <c r="J24" s="28" t="str">
        <f t="shared" si="1"/>
        <v/>
      </c>
      <c r="K24" s="23">
        <f t="shared" ca="1" si="2"/>
      </c>
      <c r="L24" s="28">
        <f ca="1">IF($B$17=0,"",IFERROR(INDEX(IMP_DONNEES,$B$17,MATCH(REFERENTIEL!G9&amp;"_obs",IMP_ENTETES,0)),""))</f>
      </c>
    </row>
    <row r="25" spans="1:13" ht="15.75" x14ac:dyDescent="0.25">
      <c r="A25" s="22" t="str">
        <f>REFERENTIEL!E10</f>
        <v>SA-PRV-2.3</v>
      </c>
      <c r="B25" s="22" t="str">
        <f>REFERENTIEL!F10</f>
        <v>Présence d'un drainage ou d'un écoulement entretenu évitant la stagnation d'eau</v>
      </c>
      <c r="C25" s="22" t="str">
        <f>REFERENTIEL!H10</f>
        <v>Binaire</v>
      </c>
      <c r="D25" s="22" t="str">
        <f>REFERENTIEL!I10</f>
        <v>NON</v>
      </c>
      <c r="E25" s="24">
        <f ca="1">IF($B$17=0,"",IF($C25&lt;&gt;"Taux",IFERROR(INDEX(IMP_DONNEES,$B$17,MATCH(REFERENTIEL!G10,IMP_ENTETES,0)),""),IF(IFERROR(INDEX(IMP_DONNEES,$B$17,MATCH(REFERENTIEL!G10&amp;"_statut",IMP_ENTETES,0)),"")="N","NA",IFERROR(INDEX(IMP_DONNEES,$B$17,MATCH(REFERENTIEL!G10&amp;"_num",IMP_ENTETES,0)),""))))</f>
      </c>
      <c r="F25" s="24">
        <f ca="1">IF($B$17=0,"",IF($C25&lt;&gt;"Taux","",IFERROR(INDEX(IMP_DONNEES,$B$17,MATCH(REFERENTIEL!G10&amp;"_den",IMP_ENTETES,0)),"")))</f>
      </c>
      <c r="G25" s="111"/>
      <c r="H25" s="111"/>
      <c r="I25" s="28">
        <f t="shared" ca="1" si="0"/>
      </c>
      <c r="J25" s="28" t="str">
        <f t="shared" si="1"/>
        <v/>
      </c>
      <c r="K25" s="23">
        <f t="shared" ca="1" si="2"/>
      </c>
      <c r="L25" s="28">
        <f ca="1">IF($B$17=0,"",IFERROR(INDEX(IMP_DONNEES,$B$17,MATCH(REFERENTIEL!G10&amp;"_obs",IMP_ENTETES,0)),""))</f>
      </c>
    </row>
    <row r="26" spans="1:13" ht="15.75" x14ac:dyDescent="0.25">
      <c r="A26" s="22" t="str">
        <f>REFERENTIEL!E11</f>
        <v>SA-PRV-2.4</v>
      </c>
      <c r="B26" s="22" t="str">
        <f>REFERENTIEL!F11</f>
        <v>Absence de récipients, pneus ou débris retenant l'eau sur l'emprise</v>
      </c>
      <c r="C26" s="22" t="str">
        <f>REFERENTIEL!H11</f>
        <v>Binaire</v>
      </c>
      <c r="D26" s="22" t="str">
        <f>REFERENTIEL!I11</f>
        <v>NON</v>
      </c>
      <c r="E26" s="24">
        <f ca="1">IF($B$17=0,"",IF($C26&lt;&gt;"Taux",IFERROR(INDEX(IMP_DONNEES,$B$17,MATCH(REFERENTIEL!G11,IMP_ENTETES,0)),""),IF(IFERROR(INDEX(IMP_DONNEES,$B$17,MATCH(REFERENTIEL!G11&amp;"_statut",IMP_ENTETES,0)),"")="N","NA",IFERROR(INDEX(IMP_DONNEES,$B$17,MATCH(REFERENTIEL!G11&amp;"_num",IMP_ENTETES,0)),""))))</f>
      </c>
      <c r="F26" s="24">
        <f ca="1">IF($B$17=0,"",IF($C26&lt;&gt;"Taux","",IFERROR(INDEX(IMP_DONNEES,$B$17,MATCH(REFERENTIEL!G11&amp;"_den",IMP_ENTETES,0)),"")))</f>
      </c>
      <c r="G26" s="111"/>
      <c r="H26" s="111"/>
      <c r="I26" s="28">
        <f t="shared" ca="1" si="0"/>
      </c>
      <c r="J26" s="28" t="str">
        <f t="shared" si="1"/>
        <v/>
      </c>
      <c r="K26" s="23">
        <f t="shared" ca="1" si="2"/>
      </c>
      <c r="L26" s="28">
        <f ca="1">IF($B$17=0,"",IFERROR(INDEX(IMP_DONNEES,$B$17,MATCH(REFERENTIEL!G11&amp;"_obs",IMP_ENTETES,0)),""))</f>
      </c>
    </row>
    <row r="27" spans="1:13" ht="15.75" x14ac:dyDescent="0.25">
      <c r="A27" s="22" t="str">
        <f>REFERENTIEL!E12</f>
        <v>SA-PRV-3.1</v>
      </c>
      <c r="B27" s="22" t="str">
        <f>REFERENTIEL!F12</f>
        <v>Tenue d'un registre des séances de sensibilisation aux risques sanitaires</v>
      </c>
      <c r="C27" s="22" t="str">
        <f>REFERENTIEL!H12</f>
        <v>Binaire</v>
      </c>
      <c r="D27" s="22" t="str">
        <f>REFERENTIEL!I12</f>
        <v>NON</v>
      </c>
      <c r="E27" s="24">
        <f ca="1">IF($B$17=0,"",IF($C27&lt;&gt;"Taux",IFERROR(INDEX(IMP_DONNEES,$B$17,MATCH(REFERENTIEL!G12,IMP_ENTETES,0)),""),IF(IFERROR(INDEX(IMP_DONNEES,$B$17,MATCH(REFERENTIEL!G12&amp;"_statut",IMP_ENTETES,0)),"")="N","NA",IFERROR(INDEX(IMP_DONNEES,$B$17,MATCH(REFERENTIEL!G12&amp;"_num",IMP_ENTETES,0)),""))))</f>
      </c>
      <c r="F27" s="24">
        <f ca="1">IF($B$17=0,"",IF($C27&lt;&gt;"Taux","",IFERROR(INDEX(IMP_DONNEES,$B$17,MATCH(REFERENTIEL!G12&amp;"_den",IMP_ENTETES,0)),"")))</f>
      </c>
      <c r="G27" s="111"/>
      <c r="H27" s="111"/>
      <c r="I27" s="28">
        <f t="shared" ca="1" si="0"/>
      </c>
      <c r="J27" s="28" t="str">
        <f t="shared" si="1"/>
        <v/>
      </c>
      <c r="K27" s="23">
        <f t="shared" ca="1" si="2"/>
      </c>
      <c r="L27" s="28">
        <f ca="1">IF($B$17=0,"",IFERROR(INDEX(IMP_DONNEES,$B$17,MATCH(REFERENTIEL!G12&amp;"_obs",IMP_ENTETES,0)),""))</f>
      </c>
    </row>
    <row r="28" spans="1:13" ht="15.75" x14ac:dyDescent="0.25">
      <c r="A28" s="22" t="str">
        <f>REFERENTIEL!E13</f>
        <v>SA-PRV-3.2</v>
      </c>
      <c r="B28" s="22" t="str">
        <f>REFERENTIEL!F13</f>
        <v>Présence d'un responsable HSE désigné sur le chantier</v>
      </c>
      <c r="C28" s="22" t="str">
        <f>REFERENTIEL!H13</f>
        <v>Binaire</v>
      </c>
      <c r="D28" s="22" t="str">
        <f>REFERENTIEL!I13</f>
        <v>NON</v>
      </c>
      <c r="E28" s="24">
        <f ca="1">IF($B$17=0,"",IF($C28&lt;&gt;"Taux",IFERROR(INDEX(IMP_DONNEES,$B$17,MATCH(REFERENTIEL!G13,IMP_ENTETES,0)),""),IF(IFERROR(INDEX(IMP_DONNEES,$B$17,MATCH(REFERENTIEL!G13&amp;"_statut",IMP_ENTETES,0)),"")="N","NA",IFERROR(INDEX(IMP_DONNEES,$B$17,MATCH(REFERENTIEL!G13&amp;"_num",IMP_ENTETES,0)),""))))</f>
      </c>
      <c r="F28" s="24">
        <f ca="1">IF($B$17=0,"",IF($C28&lt;&gt;"Taux","",IFERROR(INDEX(IMP_DONNEES,$B$17,MATCH(REFERENTIEL!G13&amp;"_den",IMP_ENTETES,0)),"")))</f>
      </c>
      <c r="G28" s="111"/>
      <c r="H28" s="111"/>
      <c r="I28" s="28">
        <f t="shared" ca="1" si="0"/>
      </c>
      <c r="J28" s="28" t="str">
        <f t="shared" si="1"/>
        <v/>
      </c>
      <c r="K28" s="23">
        <f t="shared" ca="1" si="2"/>
      </c>
      <c r="L28" s="28">
        <f ca="1">IF($B$17=0,"",IFERROR(INDEX(IMP_DONNEES,$B$17,MATCH(REFERENTIEL!G13&amp;"_obs",IMP_ENTETES,0)),""))</f>
      </c>
    </row>
    <row r="29" spans="1:13" ht="15.75" x14ac:dyDescent="0.25">
      <c r="A29" s="22" t="str">
        <f>REFERENTIEL!E14</f>
        <v>SA-PRV-3.3</v>
      </c>
      <c r="B29" s="22" t="str">
        <f>REFERENTIEL!F14</f>
        <v>Taux de travailleurs  ayant reçu une induction sur les risques sanitaires</v>
      </c>
      <c r="C29" s="22" t="str">
        <f>REFERENTIEL!H14</f>
        <v>Taux</v>
      </c>
      <c r="D29" s="22" t="str">
        <f>REFERENTIEL!I14</f>
        <v>NON</v>
      </c>
      <c r="E29" s="24">
        <f ca="1">IF($B$17=0,"",IF($C29&lt;&gt;"Taux",IFERROR(INDEX(IMP_DONNEES,$B$17,MATCH(REFERENTIEL!G14,IMP_ENTETES,0)),""),IF(IFERROR(INDEX(IMP_DONNEES,$B$17,MATCH(REFERENTIEL!G14&amp;"_statut",IMP_ENTETES,0)),"")="N","NA",IFERROR(INDEX(IMP_DONNEES,$B$17,MATCH(REFERENTIEL!G14&amp;"_num",IMP_ENTETES,0)),""))))</f>
      </c>
      <c r="F29" s="24">
        <f ca="1">IF($B$17=0,"",IF($C29&lt;&gt;"Taux","",IFERROR(INDEX(IMP_DONNEES,$B$17,MATCH(REFERENTIEL!G14&amp;"_den",IMP_ENTETES,0)),"")))</f>
      </c>
      <c r="G29" s="111"/>
      <c r="H29" s="111"/>
      <c r="I29" s="28">
        <f t="shared" ca="1" si="0"/>
      </c>
      <c r="J29" s="28">
        <f t="shared" ca="1" si="1"/>
      </c>
      <c r="K29" s="23">
        <f t="shared" ca="1" si="2"/>
      </c>
      <c r="L29" s="28">
        <f ca="1">IF($B$17=0,"",IFERROR(INDEX(IMP_DONNEES,$B$17,MATCH(REFERENTIEL!G14&amp;"_obs",IMP_ENTETES,0)),""))</f>
      </c>
    </row>
    <row r="30" spans="1:13" ht="15.75" x14ac:dyDescent="0.25">
      <c r="A30" s="22" t="str">
        <f>REFERENTIEL!E15</f>
        <v>SA-PRV-3.4</v>
      </c>
      <c r="B30" s="22" t="str">
        <f>REFERENTIEL!F15</f>
        <v>Présence d'affiches sur les règles d'hygiène du chantier</v>
      </c>
      <c r="C30" s="22" t="str">
        <f>REFERENTIEL!H15</f>
        <v>Binaire</v>
      </c>
      <c r="D30" s="22" t="str">
        <f>REFERENTIEL!I15</f>
        <v>NON</v>
      </c>
      <c r="E30" s="24">
        <f ca="1">IF($B$17=0,"",IF($C30&lt;&gt;"Taux",IFERROR(INDEX(IMP_DONNEES,$B$17,MATCH(REFERENTIEL!G15,IMP_ENTETES,0)),""),IF(IFERROR(INDEX(IMP_DONNEES,$B$17,MATCH(REFERENTIEL!G15&amp;"_statut",IMP_ENTETES,0)),"")="N","NA",IFERROR(INDEX(IMP_DONNEES,$B$17,MATCH(REFERENTIEL!G15&amp;"_num",IMP_ENTETES,0)),""))))</f>
      </c>
      <c r="F30" s="24">
        <f ca="1">IF($B$17=0,"",IF($C30&lt;&gt;"Taux","",IFERROR(INDEX(IMP_DONNEES,$B$17,MATCH(REFERENTIEL!G15&amp;"_den",IMP_ENTETES,0)),"")))</f>
      </c>
      <c r="G30" s="111"/>
      <c r="H30" s="111"/>
      <c r="I30" s="28">
        <f t="shared" ca="1" si="0"/>
      </c>
      <c r="J30" s="28" t="str">
        <f t="shared" si="1"/>
        <v/>
      </c>
      <c r="K30" s="23">
        <f t="shared" ca="1" si="2"/>
      </c>
      <c r="L30" s="28">
        <f ca="1">IF($B$17=0,"",IFERROR(INDEX(IMP_DONNEES,$B$17,MATCH(REFERENTIEL!G15&amp;"_obs",IMP_ENTETES,0)),""))</f>
      </c>
    </row>
    <row r="31" spans="1:13" ht="15.75" x14ac:dyDescent="0.25">
      <c r="A31" s="22" t="str">
        <f>REFERENTIEL!E16</f>
        <v>SA-PRT-1.1</v>
      </c>
      <c r="B31" s="22" t="str">
        <f>REFERENTIEL!F16</f>
        <v>Niveau de port des protections respiratoires aux tâches empoussiérantes</v>
      </c>
      <c r="C31" s="22" t="str">
        <f>REFERENTIEL!H16</f>
        <v>Maturité</v>
      </c>
      <c r="D31" s="22" t="str">
        <f>REFERENTIEL!I16</f>
        <v>OUI</v>
      </c>
      <c r="E31" s="24">
        <f ca="1">IF($B$17=0,"",IF($C31&lt;&gt;"Taux",IFERROR(INDEX(IMP_DONNEES,$B$17,MATCH(REFERENTIEL!G16,IMP_ENTETES,0)),""),IF(IFERROR(INDEX(IMP_DONNEES,$B$17,MATCH(REFERENTIEL!G16&amp;"_statut",IMP_ENTETES,0)),"")="N","NA",IFERROR(INDEX(IMP_DONNEES,$B$17,MATCH(REFERENTIEL!G16&amp;"_num",IMP_ENTETES,0)),""))))</f>
      </c>
      <c r="F31" s="24">
        <f ca="1">IF($B$17=0,"",IF($C31&lt;&gt;"Taux","",IFERROR(INDEX(IMP_DONNEES,$B$17,MATCH(REFERENTIEL!G16&amp;"_den",IMP_ENTETES,0)),"")))</f>
      </c>
      <c r="G31" s="111"/>
      <c r="H31" s="111"/>
      <c r="I31" s="28">
        <f t="shared" ca="1" si="0"/>
      </c>
      <c r="J31" s="28" t="str">
        <f t="shared" si="1"/>
        <v/>
      </c>
      <c r="K31" s="23">
        <f t="shared" ca="1" si="2"/>
      </c>
      <c r="L31" s="28">
        <f ca="1">IF($B$17=0,"",IFERROR(INDEX(IMP_DONNEES,$B$17,MATCH(REFERENTIEL!G16&amp;"_obs",IMP_ENTETES,0)),""))</f>
      </c>
    </row>
    <row r="32" spans="1:13" ht="15.75" x14ac:dyDescent="0.25">
      <c r="A32" s="22" t="str">
        <f>REFERENTIEL!E17</f>
        <v>SA-PRT-1.2</v>
      </c>
      <c r="B32" s="22" t="str">
        <f>REFERENTIEL!F17</f>
        <v>Niveau de port des protecteurs d’ouïe à proximité des machines à moteur</v>
      </c>
      <c r="C32" s="22" t="str">
        <f>REFERENTIEL!H17</f>
        <v>Maturité</v>
      </c>
      <c r="D32" s="22" t="str">
        <f>REFERENTIEL!I17</f>
        <v>OUI</v>
      </c>
      <c r="E32" s="24">
        <f ca="1">IF($B$17=0,"",IF($C32&lt;&gt;"Taux",IFERROR(INDEX(IMP_DONNEES,$B$17,MATCH(REFERENTIEL!G17,IMP_ENTETES,0)),""),IF(IFERROR(INDEX(IMP_DONNEES,$B$17,MATCH(REFERENTIEL!G17&amp;"_statut",IMP_ENTETES,0)),"")="N","NA",IFERROR(INDEX(IMP_DONNEES,$B$17,MATCH(REFERENTIEL!G17&amp;"_num",IMP_ENTETES,0)),""))))</f>
      </c>
      <c r="F32" s="24">
        <f ca="1">IF($B$17=0,"",IF($C32&lt;&gt;"Taux","",IFERROR(INDEX(IMP_DONNEES,$B$17,MATCH(REFERENTIEL!G17&amp;"_den",IMP_ENTETES,0)),"")))</f>
      </c>
      <c r="G32" s="111"/>
      <c r="H32" s="111"/>
      <c r="I32" s="28">
        <f t="shared" ca="1" si="0"/>
      </c>
      <c r="J32" s="28" t="str">
        <f t="shared" si="1"/>
        <v/>
      </c>
      <c r="K32" s="23">
        <f t="shared" ca="1" si="2"/>
      </c>
      <c r="L32" s="28">
        <f ca="1">IF($B$17=0,"",IFERROR(INDEX(IMP_DONNEES,$B$17,MATCH(REFERENTIEL!G17&amp;"_obs",IMP_ENTETES,0)),""))</f>
      </c>
    </row>
    <row r="33" spans="1:12" ht="15.75" x14ac:dyDescent="0.25">
      <c r="A33" s="22" t="str">
        <f>REFERENTIEL!E18</f>
        <v>SA-PRT-1.3</v>
      </c>
      <c r="B33" s="22" t="str">
        <f>REFERENTIEL!F18</f>
        <v>Niveau de port des protections contre les produits aux tâches de manipulation</v>
      </c>
      <c r="C33" s="22" t="str">
        <f>REFERENTIEL!H18</f>
        <v>Maturité</v>
      </c>
      <c r="D33" s="22" t="str">
        <f>REFERENTIEL!I18</f>
        <v>OUI</v>
      </c>
      <c r="E33" s="24">
        <f ca="1">IF($B$17=0,"",IF($C33&lt;&gt;"Taux",IFERROR(INDEX(IMP_DONNEES,$B$17,MATCH(REFERENTIEL!G18,IMP_ENTETES,0)),""),IF(IFERROR(INDEX(IMP_DONNEES,$B$17,MATCH(REFERENTIEL!G18&amp;"_statut",IMP_ENTETES,0)),"")="N","NA",IFERROR(INDEX(IMP_DONNEES,$B$17,MATCH(REFERENTIEL!G18&amp;"_num",IMP_ENTETES,0)),""))))</f>
      </c>
      <c r="F33" s="24">
        <f ca="1">IF($B$17=0,"",IF($C33&lt;&gt;"Taux","",IFERROR(INDEX(IMP_DONNEES,$B$17,MATCH(REFERENTIEL!G18&amp;"_den",IMP_ENTETES,0)),"")))</f>
      </c>
      <c r="G33" s="111"/>
      <c r="H33" s="111"/>
      <c r="I33" s="28">
        <f t="shared" ca="1" si="0"/>
      </c>
      <c r="J33" s="28" t="str">
        <f t="shared" si="1"/>
        <v/>
      </c>
      <c r="K33" s="23">
        <f t="shared" ca="1" si="2"/>
      </c>
      <c r="L33" s="28">
        <f ca="1">IF($B$17=0,"",IFERROR(INDEX(IMP_DONNEES,$B$17,MATCH(REFERENTIEL!G18&amp;"_obs",IMP_ENTETES,0)),""))</f>
      </c>
    </row>
    <row r="34" spans="1:12" ht="15.75" x14ac:dyDescent="0.25">
      <c r="A34" s="22" t="str">
        <f>REFERENTIEL!E19</f>
        <v>SA-PRT-1.4</v>
      </c>
      <c r="B34" s="22" t="str">
        <f>REFERENTIEL!F19</f>
        <v>Absence de protection individuelle visiblement inadaptée à l’exposition</v>
      </c>
      <c r="C34" s="22" t="str">
        <f>REFERENTIEL!H19</f>
        <v>Binaire</v>
      </c>
      <c r="D34" s="22" t="str">
        <f>REFERENTIEL!I19</f>
        <v>NON</v>
      </c>
      <c r="E34" s="24">
        <f ca="1">IF($B$17=0,"",IF($C34&lt;&gt;"Taux",IFERROR(INDEX(IMP_DONNEES,$B$17,MATCH(REFERENTIEL!G19,IMP_ENTETES,0)),""),IF(IFERROR(INDEX(IMP_DONNEES,$B$17,MATCH(REFERENTIEL!G19&amp;"_statut",IMP_ENTETES,0)),"")="N","NA",IFERROR(INDEX(IMP_DONNEES,$B$17,MATCH(REFERENTIEL!G19&amp;"_num",IMP_ENTETES,0)),""))))</f>
      </c>
      <c r="F34" s="24">
        <f ca="1">IF($B$17=0,"",IF($C34&lt;&gt;"Taux","",IFERROR(INDEX(IMP_DONNEES,$B$17,MATCH(REFERENTIEL!G19&amp;"_den",IMP_ENTETES,0)),"")))</f>
      </c>
      <c r="G34" s="111"/>
      <c r="H34" s="111"/>
      <c r="I34" s="28">
        <f t="shared" ca="1" si="0"/>
      </c>
      <c r="J34" s="28" t="str">
        <f t="shared" si="1"/>
        <v/>
      </c>
      <c r="K34" s="23">
        <f t="shared" ca="1" si="2"/>
      </c>
      <c r="L34" s="28">
        <f ca="1">IF($B$17=0,"",IFERROR(INDEX(IMP_DONNEES,$B$17,MATCH(REFERENTIEL!G19&amp;"_obs",IMP_ENTETES,0)),""))</f>
      </c>
    </row>
    <row r="35" spans="1:12" ht="15.75" x14ac:dyDescent="0.25">
      <c r="A35" s="22" t="str">
        <f>REFERENTIEL!E20</f>
        <v>SA-PRT-2.1</v>
      </c>
      <c r="B35" s="22" t="str">
        <f>REFERENTIEL!F20</f>
        <v>Présence d’un abri ombragé accessible aux travailleurs sur l’emprise</v>
      </c>
      <c r="C35" s="22" t="str">
        <f>REFERENTIEL!H20</f>
        <v>Binaire</v>
      </c>
      <c r="D35" s="22" t="str">
        <f>REFERENTIEL!I20</f>
        <v>NON</v>
      </c>
      <c r="E35" s="24">
        <f ca="1">IF($B$17=0,"",IF($C35&lt;&gt;"Taux",IFERROR(INDEX(IMP_DONNEES,$B$17,MATCH(REFERENTIEL!G20,IMP_ENTETES,0)),""),IF(IFERROR(INDEX(IMP_DONNEES,$B$17,MATCH(REFERENTIEL!G20&amp;"_statut",IMP_ENTETES,0)),"")="N","NA",IFERROR(INDEX(IMP_DONNEES,$B$17,MATCH(REFERENTIEL!G20&amp;"_num",IMP_ENTETES,0)),""))))</f>
      </c>
      <c r="F35" s="24">
        <f ca="1">IF($B$17=0,"",IF($C35&lt;&gt;"Taux","",IFERROR(INDEX(IMP_DONNEES,$B$17,MATCH(REFERENTIEL!G20&amp;"_den",IMP_ENTETES,0)),"")))</f>
      </c>
      <c r="G35" s="111"/>
      <c r="H35" s="111"/>
      <c r="I35" s="28">
        <f t="shared" ca="1" si="0"/>
      </c>
      <c r="J35" s="28" t="str">
        <f t="shared" si="1"/>
        <v/>
      </c>
      <c r="K35" s="23">
        <f t="shared" ca="1" si="2"/>
      </c>
      <c r="L35" s="28">
        <f ca="1">IF($B$17=0,"",IFERROR(INDEX(IMP_DONNEES,$B$17,MATCH(REFERENTIEL!G20&amp;"_obs",IMP_ENTETES,0)),""))</f>
      </c>
    </row>
    <row r="36" spans="1:12" ht="15.75" x14ac:dyDescent="0.25">
      <c r="A36" s="22" t="str">
        <f>REFERENTIEL!E21</f>
        <v>SA-PRT-2.2</v>
      </c>
      <c r="B36" s="22" t="str">
        <f>REFERENTIEL!F21</f>
        <v>Présence de sièges ou de bancs permettant de s’asseoir</v>
      </c>
      <c r="C36" s="22" t="str">
        <f>REFERENTIEL!H21</f>
        <v>Binaire</v>
      </c>
      <c r="D36" s="22" t="str">
        <f>REFERENTIEL!I21</f>
        <v>NON</v>
      </c>
      <c r="E36" s="24">
        <f ca="1">IF($B$17=0,"",IF($C36&lt;&gt;"Taux",IFERROR(INDEX(IMP_DONNEES,$B$17,MATCH(REFERENTIEL!G21,IMP_ENTETES,0)),""),IF(IFERROR(INDEX(IMP_DONNEES,$B$17,MATCH(REFERENTIEL!G21&amp;"_statut",IMP_ENTETES,0)),"")="N","NA",IFERROR(INDEX(IMP_DONNEES,$B$17,MATCH(REFERENTIEL!G21&amp;"_num",IMP_ENTETES,0)),""))))</f>
      </c>
      <c r="F36" s="24">
        <f ca="1">IF($B$17=0,"",IF($C36&lt;&gt;"Taux","",IFERROR(INDEX(IMP_DONNEES,$B$17,MATCH(REFERENTIEL!G21&amp;"_den",IMP_ENTETES,0)),"")))</f>
      </c>
      <c r="G36" s="111"/>
      <c r="H36" s="111"/>
      <c r="I36" s="28">
        <f t="shared" ca="1" si="0"/>
      </c>
      <c r="J36" s="28" t="str">
        <f t="shared" si="1"/>
        <v/>
      </c>
      <c r="K36" s="23">
        <f t="shared" ca="1" si="2"/>
      </c>
      <c r="L36" s="28">
        <f ca="1">IF($B$17=0,"",IFERROR(INDEX(IMP_DONNEES,$B$17,MATCH(REFERENTIEL!G21&amp;"_obs",IMP_ENTETES,0)),""))</f>
      </c>
    </row>
    <row r="37" spans="1:12" ht="15.75" x14ac:dyDescent="0.25">
      <c r="A37" s="22" t="str">
        <f>REFERENTIEL!E22</f>
        <v>SA-PRT-2.3</v>
      </c>
      <c r="B37" s="22" t="str">
        <f>REFERENTIEL!F22</f>
        <v>Présence d’une aire de repos tenue propre</v>
      </c>
      <c r="C37" s="22" t="str">
        <f>REFERENTIEL!H22</f>
        <v>Binaire</v>
      </c>
      <c r="D37" s="22" t="str">
        <f>REFERENTIEL!I22</f>
        <v>NON</v>
      </c>
      <c r="E37" s="24">
        <f ca="1">IF($B$17=0,"",IF($C37&lt;&gt;"Taux",IFERROR(INDEX(IMP_DONNEES,$B$17,MATCH(REFERENTIEL!G22,IMP_ENTETES,0)),""),IF(IFERROR(INDEX(IMP_DONNEES,$B$17,MATCH(REFERENTIEL!G22&amp;"_statut",IMP_ENTETES,0)),"")="N","NA",IFERROR(INDEX(IMP_DONNEES,$B$17,MATCH(REFERENTIEL!G22&amp;"_num",IMP_ENTETES,0)),""))))</f>
      </c>
      <c r="F37" s="24">
        <f ca="1">IF($B$17=0,"",IF($C37&lt;&gt;"Taux","",IFERROR(INDEX(IMP_DONNEES,$B$17,MATCH(REFERENTIEL!G22&amp;"_den",IMP_ENTETES,0)),"")))</f>
      </c>
      <c r="G37" s="111"/>
      <c r="H37" s="111"/>
      <c r="I37" s="28">
        <f t="shared" ca="1" si="0"/>
      </c>
      <c r="J37" s="28" t="str">
        <f t="shared" si="1"/>
        <v/>
      </c>
      <c r="K37" s="23">
        <f t="shared" ca="1" si="2"/>
      </c>
      <c r="L37" s="28">
        <f ca="1">IF($B$17=0,"",IFERROR(INDEX(IMP_DONNEES,$B$17,MATCH(REFERENTIEL!G22&amp;"_obs",IMP_ENTETES,0)),""))</f>
      </c>
    </row>
    <row r="38" spans="1:12" ht="15.75" x14ac:dyDescent="0.25">
      <c r="A38" s="22" t="str">
        <f>REFERENTIEL!E23</f>
        <v>SA-PRT-2.4</v>
      </c>
      <c r="B38" s="22" t="str">
        <f>REFERENTIEL!F23</f>
        <v>Absence de prise de repos à même le sol ou sous un engin</v>
      </c>
      <c r="C38" s="22" t="str">
        <f>REFERENTIEL!H23</f>
        <v>Binaire</v>
      </c>
      <c r="D38" s="22" t="str">
        <f>REFERENTIEL!I23</f>
        <v>NON</v>
      </c>
      <c r="E38" s="24">
        <f ca="1">IF($B$17=0,"",IF($C38&lt;&gt;"Taux",IFERROR(INDEX(IMP_DONNEES,$B$17,MATCH(REFERENTIEL!G23,IMP_ENTETES,0)),""),IF(IFERROR(INDEX(IMP_DONNEES,$B$17,MATCH(REFERENTIEL!G23&amp;"_statut",IMP_ENTETES,0)),"")="N","NA",IFERROR(INDEX(IMP_DONNEES,$B$17,MATCH(REFERENTIEL!G23&amp;"_num",IMP_ENTETES,0)),""))))</f>
      </c>
      <c r="F38" s="24">
        <f ca="1">IF($B$17=0,"",IF($C38&lt;&gt;"Taux","",IFERROR(INDEX(IMP_DONNEES,$B$17,MATCH(REFERENTIEL!G23&amp;"_den",IMP_ENTETES,0)),"")))</f>
      </c>
      <c r="G38" s="111"/>
      <c r="H38" s="111"/>
      <c r="I38" s="28">
        <f t="shared" ca="1" si="0"/>
      </c>
      <c r="J38" s="28" t="str">
        <f t="shared" si="1"/>
        <v/>
      </c>
      <c r="K38" s="23">
        <f t="shared" ca="1" si="2"/>
      </c>
      <c r="L38" s="28">
        <f ca="1">IF($B$17=0,"",IFERROR(INDEX(IMP_DONNEES,$B$17,MATCH(REFERENTIEL!G23&amp;"_obs",IMP_ENTETES,0)),""))</f>
      </c>
    </row>
    <row r="39" spans="1:12" ht="15.75" x14ac:dyDescent="0.25">
      <c r="A39" s="22" t="str">
        <f>REFERENTIEL!E24</f>
        <v>SA-CNF-1.1</v>
      </c>
      <c r="B39" s="22" t="str">
        <f>REFERENTIEL!F24</f>
        <v>Présence d'une convention ou d'une adhésion à un service de santé au travail</v>
      </c>
      <c r="C39" s="22" t="str">
        <f>REFERENTIEL!H24</f>
        <v>Binaire</v>
      </c>
      <c r="D39" s="22" t="str">
        <f>REFERENTIEL!I24</f>
        <v>NON</v>
      </c>
      <c r="E39" s="24">
        <f ca="1">IF($B$17=0,"",IF($C39&lt;&gt;"Taux",IFERROR(INDEX(IMP_DONNEES,$B$17,MATCH(REFERENTIEL!G24,IMP_ENTETES,0)),""),IF(IFERROR(INDEX(IMP_DONNEES,$B$17,MATCH(REFERENTIEL!G24&amp;"_statut",IMP_ENTETES,0)),"")="N","NA",IFERROR(INDEX(IMP_DONNEES,$B$17,MATCH(REFERENTIEL!G24&amp;"_num",IMP_ENTETES,0)),""))))</f>
      </c>
      <c r="F39" s="24">
        <f ca="1">IF($B$17=0,"",IF($C39&lt;&gt;"Taux","",IFERROR(INDEX(IMP_DONNEES,$B$17,MATCH(REFERENTIEL!G24&amp;"_den",IMP_ENTETES,0)),"")))</f>
      </c>
      <c r="G39" s="111"/>
      <c r="H39" s="111"/>
      <c r="I39" s="28">
        <f t="shared" ca="1" si="0"/>
      </c>
      <c r="J39" s="28" t="str">
        <f t="shared" si="1"/>
        <v/>
      </c>
      <c r="K39" s="23">
        <f t="shared" ca="1" si="2"/>
      </c>
      <c r="L39" s="28">
        <f ca="1">IF($B$17=0,"",IFERROR(INDEX(IMP_DONNEES,$B$17,MATCH(REFERENTIEL!G24&amp;"_obs",IMP_ENTETES,0)),""))</f>
      </c>
    </row>
    <row r="40" spans="1:12" ht="15.75" x14ac:dyDescent="0.25">
      <c r="A40" s="22" t="str">
        <f>REFERENTIEL!E25</f>
        <v>SA-CNF-1.2</v>
      </c>
      <c r="B40" s="22" t="str">
        <f>REFERENTIEL!F25</f>
        <v xml:space="preserve">Taux de travailleurs dont la fiche d'aptitude est disponible sur le chantier </v>
      </c>
      <c r="C40" s="22" t="str">
        <f>REFERENTIEL!H25</f>
        <v>Taux</v>
      </c>
      <c r="D40" s="22" t="str">
        <f>REFERENTIEL!I25</f>
        <v>NON</v>
      </c>
      <c r="E40" s="24">
        <f ca="1">IF($B$17=0,"",IF($C40&lt;&gt;"Taux",IFERROR(INDEX(IMP_DONNEES,$B$17,MATCH(REFERENTIEL!G25,IMP_ENTETES,0)),""),IF(IFERROR(INDEX(IMP_DONNEES,$B$17,MATCH(REFERENTIEL!G25&amp;"_statut",IMP_ENTETES,0)),"")="N","NA",IFERROR(INDEX(IMP_DONNEES,$B$17,MATCH(REFERENTIEL!G25&amp;"_num",IMP_ENTETES,0)),""))))</f>
      </c>
      <c r="F40" s="24">
        <f ca="1">IF($B$17=0,"",IF($C40&lt;&gt;"Taux","",IFERROR(INDEX(IMP_DONNEES,$B$17,MATCH(REFERENTIEL!G25&amp;"_den",IMP_ENTETES,0)),"")))</f>
      </c>
      <c r="G40" s="111"/>
      <c r="H40" s="111"/>
      <c r="I40" s="28">
        <f t="shared" ca="1" si="0"/>
      </c>
      <c r="J40" s="28">
        <f t="shared" ca="1" si="1"/>
      </c>
      <c r="K40" s="23">
        <f t="shared" ca="1" si="2"/>
      </c>
      <c r="L40" s="28">
        <f ca="1">IF($B$17=0,"",IFERROR(INDEX(IMP_DONNEES,$B$17,MATCH(REFERENTIEL!G25&amp;"_obs",IMP_ENTETES,0)),""))</f>
      </c>
    </row>
    <row r="41" spans="1:12" ht="15.75" x14ac:dyDescent="0.25">
      <c r="A41" s="22" t="str">
        <f>REFERENTIEL!E26</f>
        <v>SA-CNF-1.3</v>
      </c>
      <c r="B41" s="22" t="str">
        <f>REFERENTIEL!F26</f>
        <v>Présence de fiches d'aptitude datées de moins de douze mois</v>
      </c>
      <c r="C41" s="22" t="str">
        <f>REFERENTIEL!H26</f>
        <v>Binaire</v>
      </c>
      <c r="D41" s="22" t="str">
        <f>REFERENTIEL!I26</f>
        <v>OUI</v>
      </c>
      <c r="E41" s="24">
        <f ca="1">IF($B$17=0,"",IF($C41&lt;&gt;"Taux",IFERROR(INDEX(IMP_DONNEES,$B$17,MATCH(REFERENTIEL!G26,IMP_ENTETES,0)),""),IF(IFERROR(INDEX(IMP_DONNEES,$B$17,MATCH(REFERENTIEL!G26&amp;"_statut",IMP_ENTETES,0)),"")="N","NA",IFERROR(INDEX(IMP_DONNEES,$B$17,MATCH(REFERENTIEL!G26&amp;"_num",IMP_ENTETES,0)),""))))</f>
      </c>
      <c r="F41" s="24">
        <f ca="1">IF($B$17=0,"",IF($C41&lt;&gt;"Taux","",IFERROR(INDEX(IMP_DONNEES,$B$17,MATCH(REFERENTIEL!G26&amp;"_den",IMP_ENTETES,0)),"")))</f>
      </c>
      <c r="G41" s="111"/>
      <c r="H41" s="111"/>
      <c r="I41" s="28">
        <f t="shared" ca="1" si="0"/>
      </c>
      <c r="J41" s="28" t="str">
        <f t="shared" si="1"/>
        <v/>
      </c>
      <c r="K41" s="23">
        <f t="shared" ca="1" si="2"/>
      </c>
      <c r="L41" s="28">
        <f ca="1">IF($B$17=0,"",IFERROR(INDEX(IMP_DONNEES,$B$17,MATCH(REFERENTIEL!G26&amp;"_obs",IMP_ENTETES,0)),""))</f>
      </c>
    </row>
    <row r="42" spans="1:12" ht="15.75" x14ac:dyDescent="0.25">
      <c r="A42" s="22" t="str">
        <f>REFERENTIEL!E27</f>
        <v>SA-CNF-1.4</v>
      </c>
      <c r="B42" s="22" t="str">
        <f>REFERENTIEL!F27</f>
        <v>Taux de travailleurs dont la visite médicale d'embauchage est attestée</v>
      </c>
      <c r="C42" s="22" t="str">
        <f>REFERENTIEL!H27</f>
        <v>Taux</v>
      </c>
      <c r="D42" s="22" t="str">
        <f>REFERENTIEL!I27</f>
        <v>NON</v>
      </c>
      <c r="E42" s="24">
        <f ca="1">IF($B$17=0,"",IF($C42&lt;&gt;"Taux",IFERROR(INDEX(IMP_DONNEES,$B$17,MATCH(REFERENTIEL!G27,IMP_ENTETES,0)),""),IF(IFERROR(INDEX(IMP_DONNEES,$B$17,MATCH(REFERENTIEL!G27&amp;"_statut",IMP_ENTETES,0)),"")="N","NA",IFERROR(INDEX(IMP_DONNEES,$B$17,MATCH(REFERENTIEL!G27&amp;"_num",IMP_ENTETES,0)),""))))</f>
      </c>
      <c r="F42" s="24">
        <f ca="1">IF($B$17=0,"",IF($C42&lt;&gt;"Taux","",IFERROR(INDEX(IMP_DONNEES,$B$17,MATCH(REFERENTIEL!G27&amp;"_den",IMP_ENTETES,0)),"")))</f>
      </c>
      <c r="G42" s="111"/>
      <c r="H42" s="111"/>
      <c r="I42" s="28">
        <f t="shared" ca="1" si="0"/>
      </c>
      <c r="J42" s="28">
        <f t="shared" ca="1" si="1"/>
      </c>
      <c r="K42" s="23">
        <f t="shared" ca="1" si="2"/>
      </c>
      <c r="L42" s="28">
        <f ca="1">IF($B$17=0,"",IFERROR(INDEX(IMP_DONNEES,$B$17,MATCH(REFERENTIEL!G27&amp;"_obs",IMP_ENTETES,0)),""))</f>
      </c>
    </row>
    <row r="43" spans="1:12" ht="15.75" x14ac:dyDescent="0.25">
      <c r="A43" s="22" t="str">
        <f>REFERENTIEL!E28</f>
        <v>SA-CNF-2.1</v>
      </c>
      <c r="B43" s="22" t="str">
        <f>REFERENTIEL!F28</f>
        <v>Taux de couverture en cabinets pour les hommes</v>
      </c>
      <c r="C43" s="22" t="str">
        <f>REFERENTIEL!H28</f>
        <v>Taux</v>
      </c>
      <c r="D43" s="22" t="str">
        <f>REFERENTIEL!I28</f>
        <v>NON</v>
      </c>
      <c r="E43" s="24">
        <f ca="1">IF($B$17=0,"",IF($C43&lt;&gt;"Taux",IFERROR(INDEX(IMP_DONNEES,$B$17,MATCH(REFERENTIEL!G28,IMP_ENTETES,0)),""),IF(IFERROR(INDEX(IMP_DONNEES,$B$17,MATCH(REFERENTIEL!G28&amp;"_statut",IMP_ENTETES,0)),"")="N","NA",IFERROR(INDEX(IMP_DONNEES,$B$17,MATCH(REFERENTIEL!G28&amp;"_num",IMP_ENTETES,0)),""))))</f>
      </c>
      <c r="F43" s="24">
        <f ca="1">IF($B$17=0,"",IF($C43&lt;&gt;"Taux","",IFERROR(INDEX(IMP_DONNEES,$B$17,MATCH(REFERENTIEL!G28&amp;"_den",IMP_ENTETES,0)),"")))</f>
      </c>
      <c r="G43" s="111"/>
      <c r="H43" s="111"/>
      <c r="I43" s="28">
        <f t="shared" ca="1" si="0"/>
      </c>
      <c r="J43" s="28">
        <f t="shared" ca="1" si="1"/>
      </c>
      <c r="K43" s="23">
        <f t="shared" ca="1" si="2"/>
      </c>
      <c r="L43" s="28">
        <f ca="1">IF($B$17=0,"",IFERROR(INDEX(IMP_DONNEES,$B$17,MATCH(REFERENTIEL!G28&amp;"_obs",IMP_ENTETES,0)),""))</f>
      </c>
    </row>
    <row r="44" spans="1:12" ht="15.75" x14ac:dyDescent="0.25">
      <c r="A44" s="22" t="str">
        <f>REFERENTIEL!E29</f>
        <v>SA-CNF-2.2</v>
      </c>
      <c r="B44" s="22" t="str">
        <f>REFERENTIEL!F29</f>
        <v>Taux de couverture en cabinets pour les femmes</v>
      </c>
      <c r="C44" s="22" t="str">
        <f>REFERENTIEL!H29</f>
        <v>Taux</v>
      </c>
      <c r="D44" s="22" t="str">
        <f>REFERENTIEL!I29</f>
        <v>OUI</v>
      </c>
      <c r="E44" s="24">
        <f ca="1">IF($B$17=0,"",IF($C44&lt;&gt;"Taux",IFERROR(INDEX(IMP_DONNEES,$B$17,MATCH(REFERENTIEL!G29,IMP_ENTETES,0)),""),IF(IFERROR(INDEX(IMP_DONNEES,$B$17,MATCH(REFERENTIEL!G29&amp;"_statut",IMP_ENTETES,0)),"")="N","NA",IFERROR(INDEX(IMP_DONNEES,$B$17,MATCH(REFERENTIEL!G29&amp;"_num",IMP_ENTETES,0)),""))))</f>
      </c>
      <c r="F44" s="24">
        <f ca="1">IF($B$17=0,"",IF($C44&lt;&gt;"Taux","",IFERROR(INDEX(IMP_DONNEES,$B$17,MATCH(REFERENTIEL!G29&amp;"_den",IMP_ENTETES,0)),"")))</f>
      </c>
      <c r="G44" s="111"/>
      <c r="H44" s="111"/>
      <c r="I44" s="28">
        <f t="shared" ca="1" si="0"/>
      </c>
      <c r="J44" s="28">
        <f t="shared" ca="1" si="1"/>
      </c>
      <c r="K44" s="23">
        <f t="shared" ca="1" si="2"/>
      </c>
      <c r="L44" s="28">
        <f ca="1">IF($B$17=0,"",IFERROR(INDEX(IMP_DONNEES,$B$17,MATCH(REFERENTIEL!G29&amp;"_obs",IMP_ENTETES,0)),""))</f>
      </c>
    </row>
    <row r="45" spans="1:12" ht="15.75" x14ac:dyDescent="0.25">
      <c r="A45" s="22" t="str">
        <f>REFERENTIEL!E30</f>
        <v>SA-CNF-2.3</v>
      </c>
      <c r="B45" s="22" t="str">
        <f>REFERENTIEL!F30</f>
        <v>Niveau d’équipement des installations sanitaires</v>
      </c>
      <c r="C45" s="22" t="str">
        <f>REFERENTIEL!H30</f>
        <v>Maturité</v>
      </c>
      <c r="D45" s="22" t="str">
        <f>REFERENTIEL!I30</f>
        <v>NON</v>
      </c>
      <c r="E45" s="24">
        <f ca="1">IF($B$17=0,"",IF($C45&lt;&gt;"Taux",IFERROR(INDEX(IMP_DONNEES,$B$17,MATCH(REFERENTIEL!G30,IMP_ENTETES,0)),""),IF(IFERROR(INDEX(IMP_DONNEES,$B$17,MATCH(REFERENTIEL!G30&amp;"_statut",IMP_ENTETES,0)),"")="N","NA",IFERROR(INDEX(IMP_DONNEES,$B$17,MATCH(REFERENTIEL!G30&amp;"_num",IMP_ENTETES,0)),""))))</f>
      </c>
      <c r="F45" s="24">
        <f ca="1">IF($B$17=0,"",IF($C45&lt;&gt;"Taux","",IFERROR(INDEX(IMP_DONNEES,$B$17,MATCH(REFERENTIEL!G30&amp;"_den",IMP_ENTETES,0)),"")))</f>
      </c>
      <c r="G45" s="111"/>
      <c r="H45" s="111"/>
      <c r="I45" s="28">
        <f t="shared" ca="1" si="0"/>
      </c>
      <c r="J45" s="28" t="str">
        <f t="shared" si="1"/>
        <v/>
      </c>
      <c r="K45" s="23">
        <f t="shared" ca="1" si="2"/>
      </c>
      <c r="L45" s="28">
        <f ca="1">IF($B$17=0,"",IFERROR(INDEX(IMP_DONNEES,$B$17,MATCH(REFERENTIEL!G30&amp;"_obs",IMP_ENTETES,0)),""))</f>
      </c>
    </row>
    <row r="46" spans="1:12" ht="15.75" x14ac:dyDescent="0.25">
      <c r="A46" s="22" t="str">
        <f>REFERENTIEL!E31</f>
        <v>SA-CNF-2.4</v>
      </c>
      <c r="B46" s="22" t="str">
        <f>REFERENTIEL!F31</f>
        <v>Présence d'eau potable mise à disposition par l'employeur</v>
      </c>
      <c r="C46" s="22" t="str">
        <f>REFERENTIEL!H31</f>
        <v>Binaire</v>
      </c>
      <c r="D46" s="22" t="str">
        <f>REFERENTIEL!I31</f>
        <v>NON</v>
      </c>
      <c r="E46" s="24">
        <f ca="1">IF($B$17=0,"",IF($C46&lt;&gt;"Taux",IFERROR(INDEX(IMP_DONNEES,$B$17,MATCH(REFERENTIEL!G31,IMP_ENTETES,0)),""),IF(IFERROR(INDEX(IMP_DONNEES,$B$17,MATCH(REFERENTIEL!G31&amp;"_statut",IMP_ENTETES,0)),"")="N","NA",IFERROR(INDEX(IMP_DONNEES,$B$17,MATCH(REFERENTIEL!G31&amp;"_num",IMP_ENTETES,0)),""))))</f>
      </c>
      <c r="F46" s="24">
        <f ca="1">IF($B$17=0,"",IF($C46&lt;&gt;"Taux","",IFERROR(INDEX(IMP_DONNEES,$B$17,MATCH(REFERENTIEL!G31&amp;"_den",IMP_ENTETES,0)),"")))</f>
      </c>
      <c r="G46" s="111"/>
      <c r="H46" s="111"/>
      <c r="I46" s="28">
        <f t="shared" ca="1" si="0"/>
      </c>
      <c r="J46" s="28" t="str">
        <f t="shared" si="1"/>
        <v/>
      </c>
      <c r="K46" s="23">
        <f t="shared" ca="1" si="2"/>
      </c>
      <c r="L46" s="28">
        <f ca="1">IF($B$17=0,"",IFERROR(INDEX(IMP_DONNEES,$B$17,MATCH(REFERENTIEL!G31&amp;"_obs",IMP_ENTETES,0)),""))</f>
      </c>
    </row>
    <row r="47" spans="1:12" ht="15.75" x14ac:dyDescent="0.25">
      <c r="A47" s="22" t="str">
        <f>REFERENTIEL!E32</f>
        <v>SA-CNF-3.1</v>
      </c>
      <c r="B47" s="22" t="str">
        <f>REFERENTIEL!F32</f>
        <v>Présence du local de soins exigé par l'effectif (infirmerie à partir de trente travailleurs, salle de soins en deçà)</v>
      </c>
      <c r="C47" s="22" t="str">
        <f>REFERENTIEL!H32</f>
        <v>Binaire</v>
      </c>
      <c r="D47" s="22" t="str">
        <f>REFERENTIEL!I32</f>
        <v>NON</v>
      </c>
      <c r="E47" s="24">
        <f ca="1">IF($B$17=0,"",IF($C47&lt;&gt;"Taux",IFERROR(INDEX(IMP_DONNEES,$B$17,MATCH(REFERENTIEL!G32,IMP_ENTETES,0)),""),IF(IFERROR(INDEX(IMP_DONNEES,$B$17,MATCH(REFERENTIEL!G32&amp;"_statut",IMP_ENTETES,0)),"")="N","NA",IFERROR(INDEX(IMP_DONNEES,$B$17,MATCH(REFERENTIEL!G32&amp;"_num",IMP_ENTETES,0)),""))))</f>
      </c>
      <c r="F47" s="24">
        <f ca="1">IF($B$17=0,"",IF($C47&lt;&gt;"Taux","",IFERROR(INDEX(IMP_DONNEES,$B$17,MATCH(REFERENTIEL!G32&amp;"_den",IMP_ENTETES,0)),"")))</f>
      </c>
      <c r="G47" s="111"/>
      <c r="H47" s="111"/>
      <c r="I47" s="28">
        <f t="shared" ca="1" si="0"/>
      </c>
      <c r="J47" s="28" t="str">
        <f t="shared" si="1"/>
        <v/>
      </c>
      <c r="K47" s="23">
        <f t="shared" ca="1" si="2"/>
      </c>
      <c r="L47" s="28">
        <f ca="1">IF($B$17=0,"",IFERROR(INDEX(IMP_DONNEES,$B$17,MATCH(REFERENTIEL!G32&amp;"_obs",IMP_ENTETES,0)),""))</f>
      </c>
    </row>
    <row r="48" spans="1:12" ht="15.75" x14ac:dyDescent="0.25">
      <c r="A48" s="22" t="str">
        <f>REFERENTIEL!E33</f>
        <v>SA-CNF-3.2</v>
      </c>
      <c r="B48" s="22" t="str">
        <f>REFERENTIEL!F33</f>
        <v>Présence d'une boîte de secours contenant des produits non périmés</v>
      </c>
      <c r="C48" s="22" t="str">
        <f>REFERENTIEL!H33</f>
        <v>Binaire</v>
      </c>
      <c r="D48" s="22" t="str">
        <f>REFERENTIEL!I33</f>
        <v>NON</v>
      </c>
      <c r="E48" s="24">
        <f ca="1">IF($B$17=0,"",IF($C48&lt;&gt;"Taux",IFERROR(INDEX(IMP_DONNEES,$B$17,MATCH(REFERENTIEL!G33,IMP_ENTETES,0)),""),IF(IFERROR(INDEX(IMP_DONNEES,$B$17,MATCH(REFERENTIEL!G33&amp;"_statut",IMP_ENTETES,0)),"")="N","NA",IFERROR(INDEX(IMP_DONNEES,$B$17,MATCH(REFERENTIEL!G33&amp;"_num",IMP_ENTETES,0)),""))))</f>
      </c>
      <c r="F48" s="24">
        <f ca="1">IF($B$17=0,"",IF($C48&lt;&gt;"Taux","",IFERROR(INDEX(IMP_DONNEES,$B$17,MATCH(REFERENTIEL!G33&amp;"_den",IMP_ENTETES,0)),"")))</f>
      </c>
      <c r="G48" s="111"/>
      <c r="H48" s="111"/>
      <c r="I48" s="28">
        <f t="shared" ca="1" si="0"/>
      </c>
      <c r="J48" s="28" t="str">
        <f t="shared" si="1"/>
        <v/>
      </c>
      <c r="K48" s="23">
        <f t="shared" ca="1" si="2"/>
      </c>
      <c r="L48" s="28">
        <f ca="1">IF($B$17=0,"",IFERROR(INDEX(IMP_DONNEES,$B$17,MATCH(REFERENTIEL!G33&amp;"_obs",IMP_ENTETES,0)),""))</f>
      </c>
    </row>
    <row r="49" spans="1:12" ht="15.75" x14ac:dyDescent="0.25">
      <c r="A49" s="22" t="str">
        <f>REFERENTIEL!E34</f>
        <v>SA-CNF-3.3</v>
      </c>
      <c r="B49" s="22" t="str">
        <f>REFERENTIEL!F34</f>
        <v>Présence d’une équipe de secouriste constituée</v>
      </c>
      <c r="C49" s="22" t="str">
        <f>REFERENTIEL!H34</f>
        <v>Binaire</v>
      </c>
      <c r="D49" s="22" t="str">
        <f>REFERENTIEL!I34</f>
        <v>NON</v>
      </c>
      <c r="E49" s="24">
        <f ca="1">IF($B$17=0,"",IF($C49&lt;&gt;"Taux",IFERROR(INDEX(IMP_DONNEES,$B$17,MATCH(REFERENTIEL!G34,IMP_ENTETES,0)),""),IF(IFERROR(INDEX(IMP_DONNEES,$B$17,MATCH(REFERENTIEL!G34&amp;"_statut",IMP_ENTETES,0)),"")="N","NA",IFERROR(INDEX(IMP_DONNEES,$B$17,MATCH(REFERENTIEL!G34&amp;"_num",IMP_ENTETES,0)),""))))</f>
      </c>
      <c r="F49" s="24">
        <f ca="1">IF($B$17=0,"",IF($C49&lt;&gt;"Taux","",IFERROR(INDEX(IMP_DONNEES,$B$17,MATCH(REFERENTIEL!G34&amp;"_den",IMP_ENTETES,0)),"")))</f>
      </c>
      <c r="G49" s="111"/>
      <c r="H49" s="111"/>
      <c r="I49" s="28">
        <f t="shared" ca="1" si="0"/>
      </c>
      <c r="J49" s="28" t="str">
        <f t="shared" si="1"/>
        <v/>
      </c>
      <c r="K49" s="23">
        <f t="shared" ca="1" si="2"/>
      </c>
      <c r="L49" s="28">
        <f ca="1">IF($B$17=0,"",IFERROR(INDEX(IMP_DONNEES,$B$17,MATCH(REFERENTIEL!G34&amp;"_obs",IMP_ENTETES,0)),""))</f>
      </c>
    </row>
    <row r="50" spans="1:12" ht="15.75" x14ac:dyDescent="0.25">
      <c r="A50" s="22" t="str">
        <f>REFERENTIEL!E35</f>
        <v>SA-CNF-3.4</v>
      </c>
      <c r="B50" s="22" t="str">
        <f>REFERENTIEL!F35</f>
        <v>Présence d’au moins un secouriste sur le terrain</v>
      </c>
      <c r="C50" s="22" t="str">
        <f>REFERENTIEL!H35</f>
        <v>Binaire</v>
      </c>
      <c r="D50" s="22" t="str">
        <f>REFERENTIEL!I35</f>
        <v>NON</v>
      </c>
      <c r="E50" s="24">
        <f ca="1">IF($B$17=0,"",IF($C50&lt;&gt;"Taux",IFERROR(INDEX(IMP_DONNEES,$B$17,MATCH(REFERENTIEL!G35,IMP_ENTETES,0)),""),IF(IFERROR(INDEX(IMP_DONNEES,$B$17,MATCH(REFERENTIEL!G35&amp;"_statut",IMP_ENTETES,0)),"")="N","NA",IFERROR(INDEX(IMP_DONNEES,$B$17,MATCH(REFERENTIEL!G35&amp;"_num",IMP_ENTETES,0)),""))))</f>
      </c>
      <c r="F50" s="24">
        <f ca="1">IF($B$17=0,"",IF($C50&lt;&gt;"Taux","",IFERROR(INDEX(IMP_DONNEES,$B$17,MATCH(REFERENTIEL!G35&amp;"_den",IMP_ENTETES,0)),"")))</f>
      </c>
      <c r="G50" s="111"/>
      <c r="H50" s="111"/>
      <c r="I50" s="28">
        <f t="shared" ca="1" si="0"/>
      </c>
      <c r="J50" s="28" t="str">
        <f t="shared" si="1"/>
        <v/>
      </c>
      <c r="K50" s="23">
        <f t="shared" ca="1" si="2"/>
      </c>
      <c r="L50" s="28">
        <f ca="1">IF($B$17=0,"",IFERROR(INDEX(IMP_DONNEES,$B$17,MATCH(REFERENTIEL!G35&amp;"_obs",IMP_ENTETES,0)),""))</f>
      </c>
    </row>
    <row r="51" spans="1:12" ht="15.75" x14ac:dyDescent="0.25">
      <c r="A51" s="22" t="str">
        <f>REFERENTIEL!E36</f>
        <v>SE-PRV-1.1</v>
      </c>
      <c r="B51" s="22" t="str">
        <f>REFERENTIEL!F36</f>
        <v>Présence d'une analyse des risques écrite propre au chantier</v>
      </c>
      <c r="C51" s="22" t="str">
        <f>REFERENTIEL!H36</f>
        <v>Binaire</v>
      </c>
      <c r="D51" s="22" t="str">
        <f>REFERENTIEL!I36</f>
        <v>NON</v>
      </c>
      <c r="E51" s="24">
        <f ca="1">IF($B$17=0,"",IF($C51&lt;&gt;"Taux",IFERROR(INDEX(IMP_DONNEES,$B$17,MATCH(REFERENTIEL!G36,IMP_ENTETES,0)),""),IF(IFERROR(INDEX(IMP_DONNEES,$B$17,MATCH(REFERENTIEL!G36&amp;"_statut",IMP_ENTETES,0)),"")="N","NA",IFERROR(INDEX(IMP_DONNEES,$B$17,MATCH(REFERENTIEL!G36&amp;"_num",IMP_ENTETES,0)),""))))</f>
      </c>
      <c r="F51" s="24">
        <f ca="1">IF($B$17=0,"",IF($C51&lt;&gt;"Taux","",IFERROR(INDEX(IMP_DONNEES,$B$17,MATCH(REFERENTIEL!G36&amp;"_den",IMP_ENTETES,0)),"")))</f>
      </c>
      <c r="G51" s="111"/>
      <c r="H51" s="111"/>
      <c r="I51" s="28">
        <f t="shared" ca="1" si="0"/>
      </c>
      <c r="J51" s="28" t="str">
        <f t="shared" si="1"/>
        <v/>
      </c>
      <c r="K51" s="23">
        <f t="shared" ca="1" si="2"/>
      </c>
      <c r="L51" s="28">
        <f ca="1">IF($B$17=0,"",IFERROR(INDEX(IMP_DONNEES,$B$17,MATCH(REFERENTIEL!G36&amp;"_obs",IMP_ENTETES,0)),""))</f>
      </c>
    </row>
    <row r="52" spans="1:12" ht="15.75" x14ac:dyDescent="0.25">
      <c r="A52" s="22" t="str">
        <f>REFERENTIEL!E37</f>
        <v>SE-PRV-1.2</v>
      </c>
      <c r="B52" s="22" t="str">
        <f>REFERENTIEL!F37</f>
        <v>Présence de mesures de maîtrise associées à chaque risque identifié</v>
      </c>
      <c r="C52" s="22" t="str">
        <f>REFERENTIEL!H37</f>
        <v>Binaire</v>
      </c>
      <c r="D52" s="22" t="str">
        <f>REFERENTIEL!I37</f>
        <v>NON</v>
      </c>
      <c r="E52" s="24">
        <f ca="1">IF($B$17=0,"",IF($C52&lt;&gt;"Taux",IFERROR(INDEX(IMP_DONNEES,$B$17,MATCH(REFERENTIEL!G37,IMP_ENTETES,0)),""),IF(IFERROR(INDEX(IMP_DONNEES,$B$17,MATCH(REFERENTIEL!G37&amp;"_statut",IMP_ENTETES,0)),"")="N","NA",IFERROR(INDEX(IMP_DONNEES,$B$17,MATCH(REFERENTIEL!G37&amp;"_num",IMP_ENTETES,0)),""))))</f>
      </c>
      <c r="F52" s="24">
        <f ca="1">IF($B$17=0,"",IF($C52&lt;&gt;"Taux","",IFERROR(INDEX(IMP_DONNEES,$B$17,MATCH(REFERENTIEL!G37&amp;"_den",IMP_ENTETES,0)),"")))</f>
      </c>
      <c r="G52" s="111"/>
      <c r="H52" s="111"/>
      <c r="I52" s="28">
        <f t="shared" ca="1" si="0"/>
      </c>
      <c r="J52" s="28" t="str">
        <f t="shared" si="1"/>
        <v/>
      </c>
      <c r="K52" s="23">
        <f t="shared" ca="1" si="2"/>
      </c>
      <c r="L52" s="28">
        <f ca="1">IF($B$17=0,"",IFERROR(INDEX(IMP_DONNEES,$B$17,MATCH(REFERENTIEL!G37&amp;"_obs",IMP_ENTETES,0)),""))</f>
      </c>
    </row>
    <row r="53" spans="1:12" ht="15.75" x14ac:dyDescent="0.25">
      <c r="A53" s="22" t="str">
        <f>REFERENTIEL!E38</f>
        <v>SE-PRV-1.3</v>
      </c>
      <c r="B53" s="22" t="str">
        <f>REFERENTIEL!F38</f>
        <v>Présence d’un plan de consignation et de déconsignation des engins électriques</v>
      </c>
      <c r="C53" s="22" t="str">
        <f>REFERENTIEL!H38</f>
        <v>Binaire</v>
      </c>
      <c r="D53" s="22" t="str">
        <f>REFERENTIEL!I38</f>
        <v>OUI</v>
      </c>
      <c r="E53" s="24">
        <f ca="1">IF($B$17=0,"",IF($C53&lt;&gt;"Taux",IFERROR(INDEX(IMP_DONNEES,$B$17,MATCH(REFERENTIEL!G38,IMP_ENTETES,0)),""),IF(IFERROR(INDEX(IMP_DONNEES,$B$17,MATCH(REFERENTIEL!G38&amp;"_statut",IMP_ENTETES,0)),"")="N","NA",IFERROR(INDEX(IMP_DONNEES,$B$17,MATCH(REFERENTIEL!G38&amp;"_num",IMP_ENTETES,0)),""))))</f>
      </c>
      <c r="F53" s="24">
        <f ca="1">IF($B$17=0,"",IF($C53&lt;&gt;"Taux","",IFERROR(INDEX(IMP_DONNEES,$B$17,MATCH(REFERENTIEL!G38&amp;"_den",IMP_ENTETES,0)),"")))</f>
      </c>
      <c r="G53" s="111"/>
      <c r="H53" s="111"/>
      <c r="I53" s="28">
        <f t="shared" ca="1" si="0"/>
      </c>
      <c r="J53" s="28" t="str">
        <f t="shared" si="1"/>
        <v/>
      </c>
      <c r="K53" s="23">
        <f t="shared" ca="1" si="2"/>
      </c>
      <c r="L53" s="28">
        <f ca="1">IF($B$17=0,"",IFERROR(INDEX(IMP_DONNEES,$B$17,MATCH(REFERENTIEL!G38&amp;"_obs",IMP_ENTETES,0)),""))</f>
      </c>
    </row>
    <row r="54" spans="1:12" ht="15.75" x14ac:dyDescent="0.25">
      <c r="A54" s="22" t="str">
        <f>REFERENTIEL!E39</f>
        <v>SE-PRV-1.4</v>
      </c>
      <c r="B54" s="22" t="str">
        <f>REFERENTIEL!F39</f>
        <v>Tenue d’un registre de formation de la sécurité</v>
      </c>
      <c r="C54" s="22" t="str">
        <f>REFERENTIEL!H39</f>
        <v>Binaire</v>
      </c>
      <c r="D54" s="22" t="str">
        <f>REFERENTIEL!I39</f>
        <v>NON</v>
      </c>
      <c r="E54" s="24">
        <f ca="1">IF($B$17=0,"",IF($C54&lt;&gt;"Taux",IFERROR(INDEX(IMP_DONNEES,$B$17,MATCH(REFERENTIEL!G39,IMP_ENTETES,0)),""),IF(IFERROR(INDEX(IMP_DONNEES,$B$17,MATCH(REFERENTIEL!G39&amp;"_statut",IMP_ENTETES,0)),"")="N","NA",IFERROR(INDEX(IMP_DONNEES,$B$17,MATCH(REFERENTIEL!G39&amp;"_num",IMP_ENTETES,0)),""))))</f>
      </c>
      <c r="F54" s="24">
        <f ca="1">IF($B$17=0,"",IF($C54&lt;&gt;"Taux","",IFERROR(INDEX(IMP_DONNEES,$B$17,MATCH(REFERENTIEL!G39&amp;"_den",IMP_ENTETES,0)),"")))</f>
      </c>
      <c r="G54" s="111"/>
      <c r="H54" s="111"/>
      <c r="I54" s="28">
        <f t="shared" ca="1" si="0"/>
      </c>
      <c r="J54" s="28" t="str">
        <f t="shared" si="1"/>
        <v/>
      </c>
      <c r="K54" s="23">
        <f t="shared" ca="1" si="2"/>
      </c>
      <c r="L54" s="28">
        <f ca="1">IF($B$17=0,"",IFERROR(INDEX(IMP_DONNEES,$B$17,MATCH(REFERENTIEL!G39&amp;"_obs",IMP_ENTETES,0)),""))</f>
      </c>
    </row>
    <row r="55" spans="1:12" ht="15.75" x14ac:dyDescent="0.25">
      <c r="A55" s="22" t="str">
        <f>REFERENTIEL!E40</f>
        <v>SE-PRV-2.1</v>
      </c>
      <c r="B55" s="22" t="str">
        <f>REFERENTIEL!F40</f>
        <v>Présence d'un balisage des fouilles et des trémies</v>
      </c>
      <c r="C55" s="22" t="str">
        <f>REFERENTIEL!H40</f>
        <v>Binaire</v>
      </c>
      <c r="D55" s="22" t="str">
        <f>REFERENTIEL!I40</f>
        <v>OUI</v>
      </c>
      <c r="E55" s="24">
        <f ca="1">IF($B$17=0,"",IF($C55&lt;&gt;"Taux",IFERROR(INDEX(IMP_DONNEES,$B$17,MATCH(REFERENTIEL!G40,IMP_ENTETES,0)),""),IF(IFERROR(INDEX(IMP_DONNEES,$B$17,MATCH(REFERENTIEL!G40&amp;"_statut",IMP_ENTETES,0)),"")="N","NA",IFERROR(INDEX(IMP_DONNEES,$B$17,MATCH(REFERENTIEL!G40&amp;"_num",IMP_ENTETES,0)),""))))</f>
      </c>
      <c r="F55" s="24">
        <f ca="1">IF($B$17=0,"",IF($C55&lt;&gt;"Taux","",IFERROR(INDEX(IMP_DONNEES,$B$17,MATCH(REFERENTIEL!G40&amp;"_den",IMP_ENTETES,0)),"")))</f>
      </c>
      <c r="G55" s="111"/>
      <c r="H55" s="111"/>
      <c r="I55" s="28">
        <f t="shared" ca="1" si="0"/>
      </c>
      <c r="J55" s="28" t="str">
        <f t="shared" si="1"/>
        <v/>
      </c>
      <c r="K55" s="23">
        <f t="shared" ca="1" si="2"/>
      </c>
      <c r="L55" s="28">
        <f ca="1">IF($B$17=0,"",IFERROR(INDEX(IMP_DONNEES,$B$17,MATCH(REFERENTIEL!G40&amp;"_obs",IMP_ENTETES,0)),""))</f>
      </c>
    </row>
    <row r="56" spans="1:12" ht="15.75" x14ac:dyDescent="0.25">
      <c r="A56" s="22" t="str">
        <f>REFERENTIEL!E41</f>
        <v>SE-PRV-2.2</v>
      </c>
      <c r="B56" s="22" t="str">
        <f>REFERENTIEL!F41</f>
        <v>Présence de séparation des voies de circulation d’engins et de piétons</v>
      </c>
      <c r="C56" s="22" t="str">
        <f>REFERENTIEL!H41</f>
        <v>Binaire</v>
      </c>
      <c r="D56" s="22" t="str">
        <f>REFERENTIEL!I41</f>
        <v>OUI</v>
      </c>
      <c r="E56" s="24">
        <f ca="1">IF($B$17=0,"",IF($C56&lt;&gt;"Taux",IFERROR(INDEX(IMP_DONNEES,$B$17,MATCH(REFERENTIEL!G41,IMP_ENTETES,0)),""),IF(IFERROR(INDEX(IMP_DONNEES,$B$17,MATCH(REFERENTIEL!G41&amp;"_statut",IMP_ENTETES,0)),"")="N","NA",IFERROR(INDEX(IMP_DONNEES,$B$17,MATCH(REFERENTIEL!G41&amp;"_num",IMP_ENTETES,0)),""))))</f>
      </c>
      <c r="F56" s="24">
        <f ca="1">IF($B$17=0,"",IF($C56&lt;&gt;"Taux","",IFERROR(INDEX(IMP_DONNEES,$B$17,MATCH(REFERENTIEL!G41&amp;"_den",IMP_ENTETES,0)),"")))</f>
      </c>
      <c r="G56" s="111"/>
      <c r="H56" s="111"/>
      <c r="I56" s="28">
        <f t="shared" ca="1" si="0"/>
      </c>
      <c r="J56" s="28" t="str">
        <f t="shared" si="1"/>
        <v/>
      </c>
      <c r="K56" s="23">
        <f t="shared" ca="1" si="2"/>
      </c>
      <c r="L56" s="28">
        <f ca="1">IF($B$17=0,"",IFERROR(INDEX(IMP_DONNEES,$B$17,MATCH(REFERENTIEL!G41&amp;"_obs",IMP_ENTETES,0)),""))</f>
      </c>
    </row>
    <row r="57" spans="1:12" ht="15.75" x14ac:dyDescent="0.25">
      <c r="A57" s="22" t="str">
        <f>REFERENTIEL!E42</f>
        <v>SE-PRV-2.3</v>
      </c>
      <c r="B57" s="22" t="str">
        <f>REFERENTIEL!F42</f>
        <v>Présence de garde-corps ou de couverture aux ouvertures et bords de dalle</v>
      </c>
      <c r="C57" s="22" t="str">
        <f>REFERENTIEL!H42</f>
        <v>Binaire</v>
      </c>
      <c r="D57" s="22" t="str">
        <f>REFERENTIEL!I42</f>
        <v>OUI</v>
      </c>
      <c r="E57" s="24">
        <f ca="1">IF($B$17=0,"",IF($C57&lt;&gt;"Taux",IFERROR(INDEX(IMP_DONNEES,$B$17,MATCH(REFERENTIEL!G42,IMP_ENTETES,0)),""),IF(IFERROR(INDEX(IMP_DONNEES,$B$17,MATCH(REFERENTIEL!G42&amp;"_statut",IMP_ENTETES,0)),"")="N","NA",IFERROR(INDEX(IMP_DONNEES,$B$17,MATCH(REFERENTIEL!G42&amp;"_num",IMP_ENTETES,0)),""))))</f>
      </c>
      <c r="F57" s="24">
        <f ca="1">IF($B$17=0,"",IF($C57&lt;&gt;"Taux","",IFERROR(INDEX(IMP_DONNEES,$B$17,MATCH(REFERENTIEL!G42&amp;"_den",IMP_ENTETES,0)),"")))</f>
      </c>
      <c r="G57" s="111"/>
      <c r="H57" s="111"/>
      <c r="I57" s="28">
        <f t="shared" ca="1" si="0"/>
      </c>
      <c r="J57" s="28" t="str">
        <f t="shared" si="1"/>
        <v/>
      </c>
      <c r="K57" s="23">
        <f t="shared" ca="1" si="2"/>
      </c>
      <c r="L57" s="28">
        <f ca="1">IF($B$17=0,"",IFERROR(INDEX(IMP_DONNEES,$B$17,MATCH(REFERENTIEL!G42&amp;"_obs",IMP_ENTETES,0)),""))</f>
      </c>
    </row>
    <row r="58" spans="1:12" ht="15.75" x14ac:dyDescent="0.25">
      <c r="A58" s="22" t="str">
        <f>REFERENTIEL!E43</f>
        <v>SE-PRV-2.4</v>
      </c>
      <c r="B58" s="22" t="str">
        <f>REFERENTIEL!F43</f>
        <v>Présence d'échafaudages munis d'un plancher complet, d'un garde-corps et d'un accès fixe</v>
      </c>
      <c r="C58" s="22" t="str">
        <f>REFERENTIEL!H43</f>
        <v>Binaire</v>
      </c>
      <c r="D58" s="22" t="str">
        <f>REFERENTIEL!I43</f>
        <v>OUI</v>
      </c>
      <c r="E58" s="24">
        <f ca="1">IF($B$17=0,"",IF($C58&lt;&gt;"Taux",IFERROR(INDEX(IMP_DONNEES,$B$17,MATCH(REFERENTIEL!G43,IMP_ENTETES,0)),""),IF(IFERROR(INDEX(IMP_DONNEES,$B$17,MATCH(REFERENTIEL!G43&amp;"_statut",IMP_ENTETES,0)),"")="N","NA",IFERROR(INDEX(IMP_DONNEES,$B$17,MATCH(REFERENTIEL!G43&amp;"_num",IMP_ENTETES,0)),""))))</f>
      </c>
      <c r="F58" s="24">
        <f ca="1">IF($B$17=0,"",IF($C58&lt;&gt;"Taux","",IFERROR(INDEX(IMP_DONNEES,$B$17,MATCH(REFERENTIEL!G43&amp;"_den",IMP_ENTETES,0)),"")))</f>
      </c>
      <c r="G58" s="111"/>
      <c r="H58" s="111"/>
      <c r="I58" s="28">
        <f t="shared" ca="1" si="0"/>
      </c>
      <c r="J58" s="28" t="str">
        <f t="shared" si="1"/>
        <v/>
      </c>
      <c r="K58" s="23">
        <f t="shared" ca="1" si="2"/>
      </c>
      <c r="L58" s="28">
        <f ca="1">IF($B$17=0,"",IFERROR(INDEX(IMP_DONNEES,$B$17,MATCH(REFERENTIEL!G43&amp;"_obs",IMP_ENTETES,0)),""))</f>
      </c>
    </row>
    <row r="59" spans="1:12" ht="15.75" x14ac:dyDescent="0.25">
      <c r="A59" s="22" t="str">
        <f>REFERENTIEL!E44</f>
        <v>SE-PRV-3.1</v>
      </c>
      <c r="B59" s="22" t="str">
        <f>REFERENTIEL!F44</f>
        <v>Présence de l’habilitation des conducteurs d’engins</v>
      </c>
      <c r="C59" s="22" t="str">
        <f>REFERENTIEL!H44</f>
        <v>Binaire</v>
      </c>
      <c r="D59" s="22" t="str">
        <f>REFERENTIEL!I44</f>
        <v>OUI</v>
      </c>
      <c r="E59" s="24">
        <f ca="1">IF($B$17=0,"",IF($C59&lt;&gt;"Taux",IFERROR(INDEX(IMP_DONNEES,$B$17,MATCH(REFERENTIEL!G44,IMP_ENTETES,0)),""),IF(IFERROR(INDEX(IMP_DONNEES,$B$17,MATCH(REFERENTIEL!G44&amp;"_statut",IMP_ENTETES,0)),"")="N","NA",IFERROR(INDEX(IMP_DONNEES,$B$17,MATCH(REFERENTIEL!G44&amp;"_num",IMP_ENTETES,0)),""))))</f>
      </c>
      <c r="F59" s="24">
        <f ca="1">IF($B$17=0,"",IF($C59&lt;&gt;"Taux","",IFERROR(INDEX(IMP_DONNEES,$B$17,MATCH(REFERENTIEL!G44&amp;"_den",IMP_ENTETES,0)),"")))</f>
      </c>
      <c r="G59" s="111"/>
      <c r="H59" s="111"/>
      <c r="I59" s="28">
        <f t="shared" ca="1" si="0"/>
      </c>
      <c r="J59" s="28" t="str">
        <f t="shared" si="1"/>
        <v/>
      </c>
      <c r="K59" s="23">
        <f t="shared" ca="1" si="2"/>
      </c>
      <c r="L59" s="28">
        <f ca="1">IF($B$17=0,"",IFERROR(INDEX(IMP_DONNEES,$B$17,MATCH(REFERENTIEL!G44&amp;"_obs",IMP_ENTETES,0)),""))</f>
      </c>
    </row>
    <row r="60" spans="1:12" ht="15.75" x14ac:dyDescent="0.25">
      <c r="A60" s="22" t="str">
        <f>REFERENTIEL!E45</f>
        <v>SE-PRV-3.2</v>
      </c>
      <c r="B60" s="22" t="str">
        <f>REFERENTIEL!F45</f>
        <v>Taux d’engins dotés d’un avertisseur de recul en état de fonctionnement</v>
      </c>
      <c r="C60" s="22" t="str">
        <f>REFERENTIEL!H45</f>
        <v>Taux</v>
      </c>
      <c r="D60" s="22" t="str">
        <f>REFERENTIEL!I45</f>
        <v>OUI</v>
      </c>
      <c r="E60" s="24">
        <f ca="1">IF($B$17=0,"",IF($C60&lt;&gt;"Taux",IFERROR(INDEX(IMP_DONNEES,$B$17,MATCH(REFERENTIEL!G45,IMP_ENTETES,0)),""),IF(IFERROR(INDEX(IMP_DONNEES,$B$17,MATCH(REFERENTIEL!G45&amp;"_statut",IMP_ENTETES,0)),"")="N","NA",IFERROR(INDEX(IMP_DONNEES,$B$17,MATCH(REFERENTIEL!G45&amp;"_num",IMP_ENTETES,0)),""))))</f>
      </c>
      <c r="F60" s="24">
        <f ca="1">IF($B$17=0,"",IF($C60&lt;&gt;"Taux","",IFERROR(INDEX(IMP_DONNEES,$B$17,MATCH(REFERENTIEL!G45&amp;"_den",IMP_ENTETES,0)),"")))</f>
      </c>
      <c r="G60" s="111"/>
      <c r="H60" s="111"/>
      <c r="I60" s="28">
        <f t="shared" ca="1" si="0"/>
      </c>
      <c r="J60" s="28">
        <f t="shared" ca="1" si="1"/>
      </c>
      <c r="K60" s="23">
        <f t="shared" ca="1" si="2"/>
      </c>
      <c r="L60" s="28">
        <f ca="1">IF($B$17=0,"",IFERROR(INDEX(IMP_DONNEES,$B$17,MATCH(REFERENTIEL!G45&amp;"_obs",IMP_ENTETES,0)),""))</f>
      </c>
    </row>
    <row r="61" spans="1:12" ht="15.75" x14ac:dyDescent="0.25">
      <c r="A61" s="22" t="str">
        <f>REFERENTIEL!E46</f>
        <v>SE-PRV-3.3</v>
      </c>
      <c r="B61" s="22" t="str">
        <f>REFERENTIEL!F46</f>
        <v>Présence d’un balisage des zones de manœuvre</v>
      </c>
      <c r="C61" s="22" t="str">
        <f>REFERENTIEL!H46</f>
        <v>Binaire</v>
      </c>
      <c r="D61" s="22" t="str">
        <f>REFERENTIEL!I46</f>
        <v>OUI</v>
      </c>
      <c r="E61" s="24">
        <f ca="1">IF($B$17=0,"",IF($C61&lt;&gt;"Taux",IFERROR(INDEX(IMP_DONNEES,$B$17,MATCH(REFERENTIEL!G46,IMP_ENTETES,0)),""),IF(IFERROR(INDEX(IMP_DONNEES,$B$17,MATCH(REFERENTIEL!G46&amp;"_statut",IMP_ENTETES,0)),"")="N","NA",IFERROR(INDEX(IMP_DONNEES,$B$17,MATCH(REFERENTIEL!G46&amp;"_num",IMP_ENTETES,0)),""))))</f>
      </c>
      <c r="F61" s="24">
        <f ca="1">IF($B$17=0,"",IF($C61&lt;&gt;"Taux","",IFERROR(INDEX(IMP_DONNEES,$B$17,MATCH(REFERENTIEL!G46&amp;"_den",IMP_ENTETES,0)),"")))</f>
      </c>
      <c r="G61" s="111"/>
      <c r="H61" s="111"/>
      <c r="I61" s="28">
        <f t="shared" ca="1" si="0"/>
      </c>
      <c r="J61" s="28" t="str">
        <f t="shared" si="1"/>
        <v/>
      </c>
      <c r="K61" s="23">
        <f t="shared" ca="1" si="2"/>
      </c>
      <c r="L61" s="28">
        <f ca="1">IF($B$17=0,"",IFERROR(INDEX(IMP_DONNEES,$B$17,MATCH(REFERENTIEL!G46&amp;"_obs",IMP_ENTETES,0)),""))</f>
      </c>
    </row>
    <row r="62" spans="1:12" ht="15.75" x14ac:dyDescent="0.25">
      <c r="A62" s="22" t="str">
        <f>REFERENTIEL!E47</f>
        <v>SE-PRV-3.4</v>
      </c>
      <c r="B62" s="22" t="str">
        <f>REFERENTIEL!F47</f>
        <v>Présence d’une personne guidant les manœuvres</v>
      </c>
      <c r="C62" s="22" t="str">
        <f>REFERENTIEL!H47</f>
        <v>Binaire</v>
      </c>
      <c r="D62" s="22" t="str">
        <f>REFERENTIEL!I47</f>
        <v>OUI</v>
      </c>
      <c r="E62" s="24">
        <f ca="1">IF($B$17=0,"",IF($C62&lt;&gt;"Taux",IFERROR(INDEX(IMP_DONNEES,$B$17,MATCH(REFERENTIEL!G47,IMP_ENTETES,0)),""),IF(IFERROR(INDEX(IMP_DONNEES,$B$17,MATCH(REFERENTIEL!G47&amp;"_statut",IMP_ENTETES,0)),"")="N","NA",IFERROR(INDEX(IMP_DONNEES,$B$17,MATCH(REFERENTIEL!G47&amp;"_num",IMP_ENTETES,0)),""))))</f>
      </c>
      <c r="F62" s="24">
        <f ca="1">IF($B$17=0,"",IF($C62&lt;&gt;"Taux","",IFERROR(INDEX(IMP_DONNEES,$B$17,MATCH(REFERENTIEL!G47&amp;"_den",IMP_ENTETES,0)),"")))</f>
      </c>
      <c r="G62" s="111"/>
      <c r="H62" s="111"/>
      <c r="I62" s="28">
        <f t="shared" ca="1" si="0"/>
      </c>
      <c r="J62" s="28" t="str">
        <f t="shared" si="1"/>
        <v/>
      </c>
      <c r="K62" s="23">
        <f t="shared" ca="1" si="2"/>
      </c>
      <c r="L62" s="28">
        <f ca="1">IF($B$17=0,"",IFERROR(INDEX(IMP_DONNEES,$B$17,MATCH(REFERENTIEL!G47&amp;"_obs",IMP_ENTETES,0)),""))</f>
      </c>
    </row>
    <row r="63" spans="1:12" ht="15.75" x14ac:dyDescent="0.25">
      <c r="A63" s="22" t="str">
        <f>REFERENTIEL!E48</f>
        <v>SE-PRT-1.1</v>
      </c>
      <c r="B63" s="22" t="str">
        <f>REFERENTIEL!F48</f>
        <v>Niveau de port de l’équipement de protection individuelle</v>
      </c>
      <c r="C63" s="22" t="str">
        <f>REFERENTIEL!H48</f>
        <v>Maturité</v>
      </c>
      <c r="D63" s="22" t="str">
        <f>REFERENTIEL!I48</f>
        <v>NON</v>
      </c>
      <c r="E63" s="24">
        <f ca="1">IF($B$17=0,"",IF($C63&lt;&gt;"Taux",IFERROR(INDEX(IMP_DONNEES,$B$17,MATCH(REFERENTIEL!G48,IMP_ENTETES,0)),""),IF(IFERROR(INDEX(IMP_DONNEES,$B$17,MATCH(REFERENTIEL!G48&amp;"_statut",IMP_ENTETES,0)),"")="N","NA",IFERROR(INDEX(IMP_DONNEES,$B$17,MATCH(REFERENTIEL!G48&amp;"_num",IMP_ENTETES,0)),""))))</f>
      </c>
      <c r="F63" s="24">
        <f ca="1">IF($B$17=0,"",IF($C63&lt;&gt;"Taux","",IFERROR(INDEX(IMP_DONNEES,$B$17,MATCH(REFERENTIEL!G48&amp;"_den",IMP_ENTETES,0)),"")))</f>
      </c>
      <c r="G63" s="111"/>
      <c r="H63" s="111"/>
      <c r="I63" s="28">
        <f t="shared" ca="1" si="0"/>
      </c>
      <c r="J63" s="28" t="str">
        <f t="shared" si="1"/>
        <v/>
      </c>
      <c r="K63" s="23">
        <f t="shared" ca="1" si="2"/>
      </c>
      <c r="L63" s="28">
        <f ca="1">IF($B$17=0,"",IFERROR(INDEX(IMP_DONNEES,$B$17,MATCH(REFERENTIEL!G48&amp;"_obs",IMP_ENTETES,0)),""))</f>
      </c>
    </row>
    <row r="64" spans="1:12" ht="15.75" x14ac:dyDescent="0.25">
      <c r="A64" s="22" t="str">
        <f>REFERENTIEL!E49</f>
        <v>SE-PRT-1.2</v>
      </c>
      <c r="B64" s="22" t="str">
        <f>REFERENTIEL!F49</f>
        <v>Présence du port des équipements de protection par les visiteurs</v>
      </c>
      <c r="C64" s="22" t="str">
        <f>REFERENTIEL!H49</f>
        <v>Binaire</v>
      </c>
      <c r="D64" s="22" t="str">
        <f>REFERENTIEL!I49</f>
        <v>OUI</v>
      </c>
      <c r="E64" s="24">
        <f ca="1">IF($B$17=0,"",IF($C64&lt;&gt;"Taux",IFERROR(INDEX(IMP_DONNEES,$B$17,MATCH(REFERENTIEL!G49,IMP_ENTETES,0)),""),IF(IFERROR(INDEX(IMP_DONNEES,$B$17,MATCH(REFERENTIEL!G49&amp;"_statut",IMP_ENTETES,0)),"")="N","NA",IFERROR(INDEX(IMP_DONNEES,$B$17,MATCH(REFERENTIEL!G49&amp;"_num",IMP_ENTETES,0)),""))))</f>
      </c>
      <c r="F64" s="24">
        <f ca="1">IF($B$17=0,"",IF($C64&lt;&gt;"Taux","",IFERROR(INDEX(IMP_DONNEES,$B$17,MATCH(REFERENTIEL!G49&amp;"_den",IMP_ENTETES,0)),"")))</f>
      </c>
      <c r="G64" s="111"/>
      <c r="H64" s="111"/>
      <c r="I64" s="28">
        <f t="shared" ca="1" si="0"/>
      </c>
      <c r="J64" s="28" t="str">
        <f t="shared" si="1"/>
        <v/>
      </c>
      <c r="K64" s="23">
        <f t="shared" ca="1" si="2"/>
      </c>
      <c r="L64" s="28">
        <f ca="1">IF($B$17=0,"",IFERROR(INDEX(IMP_DONNEES,$B$17,MATCH(REFERENTIEL!G49&amp;"_obs",IMP_ENTETES,0)),""))</f>
      </c>
    </row>
    <row r="65" spans="1:12" ht="15.75" x14ac:dyDescent="0.25">
      <c r="A65" s="22" t="str">
        <f>REFERENTIEL!E50</f>
        <v>SE-PRT-1.3</v>
      </c>
      <c r="B65" s="22" t="str">
        <f>REFERENTIEL!F50</f>
        <v>Présence du port des équipements de protection par l'encadrement</v>
      </c>
      <c r="C65" s="22" t="str">
        <f>REFERENTIEL!H50</f>
        <v>Binaire</v>
      </c>
      <c r="D65" s="22" t="str">
        <f>REFERENTIEL!I50</f>
        <v>NON</v>
      </c>
      <c r="E65" s="24">
        <f ca="1">IF($B$17=0,"",IF($C65&lt;&gt;"Taux",IFERROR(INDEX(IMP_DONNEES,$B$17,MATCH(REFERENTIEL!G50,IMP_ENTETES,0)),""),IF(IFERROR(INDEX(IMP_DONNEES,$B$17,MATCH(REFERENTIEL!G50&amp;"_statut",IMP_ENTETES,0)),"")="N","NA",IFERROR(INDEX(IMP_DONNEES,$B$17,MATCH(REFERENTIEL!G50&amp;"_num",IMP_ENTETES,0)),""))))</f>
      </c>
      <c r="F65" s="24">
        <f ca="1">IF($B$17=0,"",IF($C65&lt;&gt;"Taux","",IFERROR(INDEX(IMP_DONNEES,$B$17,MATCH(REFERENTIEL!G50&amp;"_den",IMP_ENTETES,0)),"")))</f>
      </c>
      <c r="G65" s="111"/>
      <c r="H65" s="111"/>
      <c r="I65" s="28">
        <f t="shared" ca="1" si="0"/>
      </c>
      <c r="J65" s="28" t="str">
        <f t="shared" si="1"/>
        <v/>
      </c>
      <c r="K65" s="23">
        <f t="shared" ca="1" si="2"/>
      </c>
      <c r="L65" s="28">
        <f ca="1">IF($B$17=0,"",IFERROR(INDEX(IMP_DONNEES,$B$17,MATCH(REFERENTIEL!G50&amp;"_obs",IMP_ENTETES,0)),""))</f>
      </c>
    </row>
    <row r="66" spans="1:12" ht="15.75" x14ac:dyDescent="0.25">
      <c r="A66" s="22" t="str">
        <f>REFERENTIEL!E51</f>
        <v>SE-PRT-1.4</v>
      </c>
      <c r="B66" s="22" t="str">
        <f>REFERENTIEL!F51</f>
        <v>Absence de travailleur en tenue manifestement inadaptée au poste</v>
      </c>
      <c r="C66" s="22" t="str">
        <f>REFERENTIEL!H51</f>
        <v>Binaire</v>
      </c>
      <c r="D66" s="22" t="str">
        <f>REFERENTIEL!I51</f>
        <v>NON</v>
      </c>
      <c r="E66" s="24">
        <f ca="1">IF($B$17=0,"",IF($C66&lt;&gt;"Taux",IFERROR(INDEX(IMP_DONNEES,$B$17,MATCH(REFERENTIEL!G51,IMP_ENTETES,0)),""),IF(IFERROR(INDEX(IMP_DONNEES,$B$17,MATCH(REFERENTIEL!G51&amp;"_statut",IMP_ENTETES,0)),"")="N","NA",IFERROR(INDEX(IMP_DONNEES,$B$17,MATCH(REFERENTIEL!G51&amp;"_num",IMP_ENTETES,0)),""))))</f>
      </c>
      <c r="F66" s="24">
        <f ca="1">IF($B$17=0,"",IF($C66&lt;&gt;"Taux","",IFERROR(INDEX(IMP_DONNEES,$B$17,MATCH(REFERENTIEL!G51&amp;"_den",IMP_ENTETES,0)),"")))</f>
      </c>
      <c r="G66" s="111"/>
      <c r="H66" s="111"/>
      <c r="I66" s="28">
        <f t="shared" ca="1" si="0"/>
      </c>
      <c r="J66" s="28" t="str">
        <f t="shared" si="1"/>
        <v/>
      </c>
      <c r="K66" s="23">
        <f t="shared" ca="1" si="2"/>
      </c>
      <c r="L66" s="28">
        <f ca="1">IF($B$17=0,"",IFERROR(INDEX(IMP_DONNEES,$B$17,MATCH(REFERENTIEL!G51&amp;"_obs",IMP_ENTETES,0)),""))</f>
      </c>
    </row>
    <row r="67" spans="1:12" ht="15.75" x14ac:dyDescent="0.25">
      <c r="A67" s="22" t="str">
        <f>REFERENTIEL!E52</f>
        <v>SE-PRT-2.1</v>
      </c>
      <c r="B67" s="22" t="str">
        <f>REFERENTIEL!F52</f>
        <v>Présence d'extincteurs adaptés aux risques du chantier</v>
      </c>
      <c r="C67" s="22" t="str">
        <f>REFERENTIEL!H52</f>
        <v>Binaire</v>
      </c>
      <c r="D67" s="22" t="str">
        <f>REFERENTIEL!I52</f>
        <v>NON</v>
      </c>
      <c r="E67" s="24">
        <f ca="1">IF($B$17=0,"",IF($C67&lt;&gt;"Taux",IFERROR(INDEX(IMP_DONNEES,$B$17,MATCH(REFERENTIEL!G52,IMP_ENTETES,0)),""),IF(IFERROR(INDEX(IMP_DONNEES,$B$17,MATCH(REFERENTIEL!G52&amp;"_statut",IMP_ENTETES,0)),"")="N","NA",IFERROR(INDEX(IMP_DONNEES,$B$17,MATCH(REFERENTIEL!G52&amp;"_num",IMP_ENTETES,0)),""))))</f>
      </c>
      <c r="F67" s="24">
        <f ca="1">IF($B$17=0,"",IF($C67&lt;&gt;"Taux","",IFERROR(INDEX(IMP_DONNEES,$B$17,MATCH(REFERENTIEL!G52&amp;"_den",IMP_ENTETES,0)),"")))</f>
      </c>
      <c r="G67" s="111"/>
      <c r="H67" s="111"/>
      <c r="I67" s="28">
        <f t="shared" ca="1" si="0"/>
      </c>
      <c r="J67" s="28" t="str">
        <f t="shared" si="1"/>
        <v/>
      </c>
      <c r="K67" s="23">
        <f t="shared" ca="1" si="2"/>
      </c>
      <c r="L67" s="28">
        <f ca="1">IF($B$17=0,"",IFERROR(INDEX(IMP_DONNEES,$B$17,MATCH(REFERENTIEL!G52&amp;"_obs",IMP_ENTETES,0)),""))</f>
      </c>
    </row>
    <row r="68" spans="1:12" ht="15.75" x14ac:dyDescent="0.25">
      <c r="A68" s="22" t="str">
        <f>REFERENTIEL!E53</f>
        <v>SE-PRT-2.2</v>
      </c>
      <c r="B68" s="22" t="str">
        <f>REFERENTIEL!F53</f>
        <v>Présence d'extincteurs répartis aux points sensibles</v>
      </c>
      <c r="C68" s="22" t="str">
        <f>REFERENTIEL!H53</f>
        <v>Binaire</v>
      </c>
      <c r="D68" s="22" t="str">
        <f>REFERENTIEL!I53</f>
        <v>NON</v>
      </c>
      <c r="E68" s="24">
        <f ca="1">IF($B$17=0,"",IF($C68&lt;&gt;"Taux",IFERROR(INDEX(IMP_DONNEES,$B$17,MATCH(REFERENTIEL!G53,IMP_ENTETES,0)),""),IF(IFERROR(INDEX(IMP_DONNEES,$B$17,MATCH(REFERENTIEL!G53&amp;"_statut",IMP_ENTETES,0)),"")="N","NA",IFERROR(INDEX(IMP_DONNEES,$B$17,MATCH(REFERENTIEL!G53&amp;"_num",IMP_ENTETES,0)),""))))</f>
      </c>
      <c r="F68" s="24">
        <f ca="1">IF($B$17=0,"",IF($C68&lt;&gt;"Taux","",IFERROR(INDEX(IMP_DONNEES,$B$17,MATCH(REFERENTIEL!G53&amp;"_den",IMP_ENTETES,0)),"")))</f>
      </c>
      <c r="G68" s="111"/>
      <c r="H68" s="111"/>
      <c r="I68" s="28">
        <f t="shared" ca="1" si="0"/>
      </c>
      <c r="J68" s="28" t="str">
        <f t="shared" si="1"/>
        <v/>
      </c>
      <c r="K68" s="23">
        <f t="shared" ca="1" si="2"/>
      </c>
      <c r="L68" s="28">
        <f ca="1">IF($B$17=0,"",IFERROR(INDEX(IMP_DONNEES,$B$17,MATCH(REFERENTIEL!G53&amp;"_obs",IMP_ENTETES,0)),""))</f>
      </c>
    </row>
    <row r="69" spans="1:12" ht="15.75" x14ac:dyDescent="0.25">
      <c r="A69" s="22" t="str">
        <f>REFERENTIEL!E54</f>
        <v>SE-PRT-2.3</v>
      </c>
      <c r="B69" s="22" t="str">
        <f>REFERENTIEL!F54</f>
        <v>Présence d'un moyen d'alerte permettant de donner l'alarme sur le chantier</v>
      </c>
      <c r="C69" s="22" t="str">
        <f>REFERENTIEL!H54</f>
        <v>Binaire</v>
      </c>
      <c r="D69" s="22" t="str">
        <f>REFERENTIEL!I54</f>
        <v>NON</v>
      </c>
      <c r="E69" s="24">
        <f ca="1">IF($B$17=0,"",IF($C69&lt;&gt;"Taux",IFERROR(INDEX(IMP_DONNEES,$B$17,MATCH(REFERENTIEL!G54,IMP_ENTETES,0)),""),IF(IFERROR(INDEX(IMP_DONNEES,$B$17,MATCH(REFERENTIEL!G54&amp;"_statut",IMP_ENTETES,0)),"")="N","NA",IFERROR(INDEX(IMP_DONNEES,$B$17,MATCH(REFERENTIEL!G54&amp;"_num",IMP_ENTETES,0)),""))))</f>
      </c>
      <c r="F69" s="24">
        <f ca="1">IF($B$17=0,"",IF($C69&lt;&gt;"Taux","",IFERROR(INDEX(IMP_DONNEES,$B$17,MATCH(REFERENTIEL!G54&amp;"_den",IMP_ENTETES,0)),"")))</f>
      </c>
      <c r="G69" s="111"/>
      <c r="H69" s="111"/>
      <c r="I69" s="28">
        <f t="shared" ca="1" si="0"/>
      </c>
      <c r="J69" s="28" t="str">
        <f t="shared" si="1"/>
        <v/>
      </c>
      <c r="K69" s="23">
        <f t="shared" ca="1" si="2"/>
      </c>
      <c r="L69" s="28">
        <f ca="1">IF($B$17=0,"",IFERROR(INDEX(IMP_DONNEES,$B$17,MATCH(REFERENTIEL!G54&amp;"_obs",IMP_ENTETES,0)),""))</f>
      </c>
    </row>
    <row r="70" spans="1:12" ht="15.75" x14ac:dyDescent="0.25">
      <c r="A70" s="22" t="str">
        <f>REFERENTIEL!E55</f>
        <v>SE-PRT-2.4</v>
      </c>
      <c r="B70" s="22" t="str">
        <f>REFERENTIEL!F55</f>
        <v>Présence d'un point de rassemblement identifié et signalé</v>
      </c>
      <c r="C70" s="22" t="str">
        <f>REFERENTIEL!H55</f>
        <v>Binaire</v>
      </c>
      <c r="D70" s="22" t="str">
        <f>REFERENTIEL!I55</f>
        <v>NON</v>
      </c>
      <c r="E70" s="24">
        <f ca="1">IF($B$17=0,"",IF($C70&lt;&gt;"Taux",IFERROR(INDEX(IMP_DONNEES,$B$17,MATCH(REFERENTIEL!G55,IMP_ENTETES,0)),""),IF(IFERROR(INDEX(IMP_DONNEES,$B$17,MATCH(REFERENTIEL!G55&amp;"_statut",IMP_ENTETES,0)),"")="N","NA",IFERROR(INDEX(IMP_DONNEES,$B$17,MATCH(REFERENTIEL!G55&amp;"_num",IMP_ENTETES,0)),""))))</f>
      </c>
      <c r="F70" s="24">
        <f ca="1">IF($B$17=0,"",IF($C70&lt;&gt;"Taux","",IFERROR(INDEX(IMP_DONNEES,$B$17,MATCH(REFERENTIEL!G55&amp;"_den",IMP_ENTETES,0)),"")))</f>
      </c>
      <c r="G70" s="111"/>
      <c r="H70" s="111"/>
      <c r="I70" s="28">
        <f t="shared" ca="1" si="0"/>
      </c>
      <c r="J70" s="28" t="str">
        <f t="shared" si="1"/>
        <v/>
      </c>
      <c r="K70" s="23">
        <f t="shared" ca="1" si="2"/>
      </c>
      <c r="L70" s="28">
        <f ca="1">IF($B$17=0,"",IFERROR(INDEX(IMP_DONNEES,$B$17,MATCH(REFERENTIEL!G55&amp;"_obs",IMP_ENTETES,0)),""))</f>
      </c>
    </row>
    <row r="71" spans="1:12" ht="15.75" x14ac:dyDescent="0.25">
      <c r="A71" s="22" t="str">
        <f>REFERENTIEL!E56</f>
        <v>SE-PRT-3.1</v>
      </c>
      <c r="B71" s="22" t="str">
        <f>REFERENTIEL!F56</f>
        <v>Présence d'un coffret de chantier muni d'un dispositif différentiel</v>
      </c>
      <c r="C71" s="22" t="str">
        <f>REFERENTIEL!H56</f>
        <v>Binaire</v>
      </c>
      <c r="D71" s="22" t="str">
        <f>REFERENTIEL!I56</f>
        <v>OUI</v>
      </c>
      <c r="E71" s="24">
        <f ca="1">IF($B$17=0,"",IF($C71&lt;&gt;"Taux",IFERROR(INDEX(IMP_DONNEES,$B$17,MATCH(REFERENTIEL!G56,IMP_ENTETES,0)),""),IF(IFERROR(INDEX(IMP_DONNEES,$B$17,MATCH(REFERENTIEL!G56&amp;"_statut",IMP_ENTETES,0)),"")="N","NA",IFERROR(INDEX(IMP_DONNEES,$B$17,MATCH(REFERENTIEL!G56&amp;"_num",IMP_ENTETES,0)),""))))</f>
      </c>
      <c r="F71" s="24">
        <f ca="1">IF($B$17=0,"",IF($C71&lt;&gt;"Taux","",IFERROR(INDEX(IMP_DONNEES,$B$17,MATCH(REFERENTIEL!G56&amp;"_den",IMP_ENTETES,0)),"")))</f>
      </c>
      <c r="G71" s="111"/>
      <c r="H71" s="111"/>
      <c r="I71" s="28">
        <f t="shared" ca="1" si="0"/>
      </c>
      <c r="J71" s="28" t="str">
        <f t="shared" si="1"/>
        <v/>
      </c>
      <c r="K71" s="23">
        <f t="shared" ca="1" si="2"/>
      </c>
      <c r="L71" s="28">
        <f ca="1">IF($B$17=0,"",IFERROR(INDEX(IMP_DONNEES,$B$17,MATCH(REFERENTIEL!G56&amp;"_obs",IMP_ENTETES,0)),""))</f>
      </c>
    </row>
    <row r="72" spans="1:12" ht="15.75" x14ac:dyDescent="0.25">
      <c r="A72" s="22" t="str">
        <f>REFERENTIEL!E57</f>
        <v>SE-PRT-3.2</v>
      </c>
      <c r="B72" s="22" t="str">
        <f>REFERENTIEL!F57</f>
        <v>Présence d'un piquet de terre relié aux équipements électriques</v>
      </c>
      <c r="C72" s="22" t="str">
        <f>REFERENTIEL!H57</f>
        <v>Binaire</v>
      </c>
      <c r="D72" s="22" t="str">
        <f>REFERENTIEL!I57</f>
        <v>OUI</v>
      </c>
      <c r="E72" s="24">
        <f ca="1">IF($B$17=0,"",IF($C72&lt;&gt;"Taux",IFERROR(INDEX(IMP_DONNEES,$B$17,MATCH(REFERENTIEL!G57,IMP_ENTETES,0)),""),IF(IFERROR(INDEX(IMP_DONNEES,$B$17,MATCH(REFERENTIEL!G57&amp;"_statut",IMP_ENTETES,0)),"")="N","NA",IFERROR(INDEX(IMP_DONNEES,$B$17,MATCH(REFERENTIEL!G57&amp;"_num",IMP_ENTETES,0)),""))))</f>
      </c>
      <c r="F72" s="24">
        <f ca="1">IF($B$17=0,"",IF($C72&lt;&gt;"Taux","",IFERROR(INDEX(IMP_DONNEES,$B$17,MATCH(REFERENTIEL!G57&amp;"_den",IMP_ENTETES,0)),"")))</f>
      </c>
      <c r="G72" s="111"/>
      <c r="H72" s="111"/>
      <c r="I72" s="28">
        <f t="shared" ca="1" si="0"/>
      </c>
      <c r="J72" s="28" t="str">
        <f t="shared" si="1"/>
        <v/>
      </c>
      <c r="K72" s="23">
        <f t="shared" ca="1" si="2"/>
      </c>
      <c r="L72" s="28">
        <f ca="1">IF($B$17=0,"",IFERROR(INDEX(IMP_DONNEES,$B$17,MATCH(REFERENTIEL!G57&amp;"_obs",IMP_ENTETES,0)),""))</f>
      </c>
    </row>
    <row r="73" spans="1:12" ht="15.75" x14ac:dyDescent="0.25">
      <c r="A73" s="22" t="str">
        <f>REFERENTIEL!E58</f>
        <v>SE-PRT-3.3</v>
      </c>
      <c r="B73" s="22" t="str">
        <f>REFERENTIEL!F58</f>
        <v>Présence de coffrets et boîtiers de raccordement fermés</v>
      </c>
      <c r="C73" s="22" t="str">
        <f>REFERENTIEL!H58</f>
        <v>Binaire</v>
      </c>
      <c r="D73" s="22" t="str">
        <f>REFERENTIEL!I58</f>
        <v>OUI</v>
      </c>
      <c r="E73" s="24">
        <f ca="1">IF($B$17=0,"",IF($C73&lt;&gt;"Taux",IFERROR(INDEX(IMP_DONNEES,$B$17,MATCH(REFERENTIEL!G58,IMP_ENTETES,0)),""),IF(IFERROR(INDEX(IMP_DONNEES,$B$17,MATCH(REFERENTIEL!G58&amp;"_statut",IMP_ENTETES,0)),"")="N","NA",IFERROR(INDEX(IMP_DONNEES,$B$17,MATCH(REFERENTIEL!G58&amp;"_num",IMP_ENTETES,0)),""))))</f>
      </c>
      <c r="F73" s="24">
        <f ca="1">IF($B$17=0,"",IF($C73&lt;&gt;"Taux","",IFERROR(INDEX(IMP_DONNEES,$B$17,MATCH(REFERENTIEL!G58&amp;"_den",IMP_ENTETES,0)),"")))</f>
      </c>
      <c r="G73" s="111"/>
      <c r="H73" s="111"/>
      <c r="I73" s="28">
        <f t="shared" ca="1" si="0"/>
      </c>
      <c r="J73" s="28" t="str">
        <f t="shared" si="1"/>
        <v/>
      </c>
      <c r="K73" s="23">
        <f t="shared" ca="1" si="2"/>
      </c>
      <c r="L73" s="28">
        <f ca="1">IF($B$17=0,"",IFERROR(INDEX(IMP_DONNEES,$B$17,MATCH(REFERENTIEL!G58&amp;"_obs",IMP_ENTETES,0)),""))</f>
      </c>
    </row>
    <row r="74" spans="1:12" ht="15.75" x14ac:dyDescent="0.25">
      <c r="A74" s="22" t="str">
        <f>REFERENTIEL!E59</f>
        <v>SE-PRT-3.4</v>
      </c>
      <c r="B74" s="22" t="str">
        <f>REFERENTIEL!F59</f>
        <v>Présence d'un dispositif de coupure générale accessible et signalé</v>
      </c>
      <c r="C74" s="22" t="str">
        <f>REFERENTIEL!H59</f>
        <v>Binaire</v>
      </c>
      <c r="D74" s="22" t="str">
        <f>REFERENTIEL!I59</f>
        <v>OUI</v>
      </c>
      <c r="E74" s="24">
        <f ca="1">IF($B$17=0,"",IF($C74&lt;&gt;"Taux",IFERROR(INDEX(IMP_DONNEES,$B$17,MATCH(REFERENTIEL!G59,IMP_ENTETES,0)),""),IF(IFERROR(INDEX(IMP_DONNEES,$B$17,MATCH(REFERENTIEL!G59&amp;"_statut",IMP_ENTETES,0)),"")="N","NA",IFERROR(INDEX(IMP_DONNEES,$B$17,MATCH(REFERENTIEL!G59&amp;"_num",IMP_ENTETES,0)),""))))</f>
      </c>
      <c r="F74" s="24">
        <f ca="1">IF($B$17=0,"",IF($C74&lt;&gt;"Taux","",IFERROR(INDEX(IMP_DONNEES,$B$17,MATCH(REFERENTIEL!G59&amp;"_den",IMP_ENTETES,0)),"")))</f>
      </c>
      <c r="G74" s="111"/>
      <c r="H74" s="111"/>
      <c r="I74" s="28">
        <f t="shared" ca="1" si="0"/>
      </c>
      <c r="J74" s="28" t="str">
        <f t="shared" si="1"/>
        <v/>
      </c>
      <c r="K74" s="23">
        <f t="shared" ca="1" si="2"/>
      </c>
      <c r="L74" s="28">
        <f ca="1">IF($B$17=0,"",IFERROR(INDEX(IMP_DONNEES,$B$17,MATCH(REFERENTIEL!G59&amp;"_obs",IMP_ENTETES,0)),""))</f>
      </c>
    </row>
    <row r="75" spans="1:12" ht="15.75" x14ac:dyDescent="0.25">
      <c r="A75" s="22" t="str">
        <f>REFERENTIEL!E60</f>
        <v>SE-CNF-1.1</v>
      </c>
      <c r="B75" s="22" t="str">
        <f>REFERENTIEL!F60</f>
        <v>Présence d'une attestation de conformité visée par l'organisme public de contrôle</v>
      </c>
      <c r="C75" s="22" t="str">
        <f>REFERENTIEL!H60</f>
        <v>Binaire</v>
      </c>
      <c r="D75" s="22" t="str">
        <f>REFERENTIEL!I60</f>
        <v>OUI</v>
      </c>
      <c r="E75" s="24">
        <f ca="1">IF($B$17=0,"",IF($C75&lt;&gt;"Taux",IFERROR(INDEX(IMP_DONNEES,$B$17,MATCH(REFERENTIEL!G60,IMP_ENTETES,0)),""),IF(IFERROR(INDEX(IMP_DONNEES,$B$17,MATCH(REFERENTIEL!G60&amp;"_statut",IMP_ENTETES,0)),"")="N","NA",IFERROR(INDEX(IMP_DONNEES,$B$17,MATCH(REFERENTIEL!G60&amp;"_num",IMP_ENTETES,0)),""))))</f>
      </c>
      <c r="F75" s="24">
        <f ca="1">IF($B$17=0,"",IF($C75&lt;&gt;"Taux","",IFERROR(INDEX(IMP_DONNEES,$B$17,MATCH(REFERENTIEL!G60&amp;"_den",IMP_ENTETES,0)),"")))</f>
      </c>
      <c r="G75" s="111"/>
      <c r="H75" s="111"/>
      <c r="I75" s="28">
        <f t="shared" ca="1" si="0"/>
      </c>
      <c r="J75" s="28" t="str">
        <f t="shared" si="1"/>
        <v/>
      </c>
      <c r="K75" s="23">
        <f t="shared" ca="1" si="2"/>
      </c>
      <c r="L75" s="28">
        <f ca="1">IF($B$17=0,"",IFERROR(INDEX(IMP_DONNEES,$B$17,MATCH(REFERENTIEL!G60&amp;"_obs",IMP_ENTETES,0)),""))</f>
      </c>
    </row>
    <row r="76" spans="1:12" ht="15.75" x14ac:dyDescent="0.25">
      <c r="A76" s="22" t="str">
        <f>REFERENTIEL!E61</f>
        <v>SE-CNF-1.2</v>
      </c>
      <c r="B76" s="22" t="str">
        <f>REFERENTIEL!F61</f>
        <v>Présence d'un rapport de contrôle périodique daté et non périmé</v>
      </c>
      <c r="C76" s="22" t="str">
        <f>REFERENTIEL!H61</f>
        <v>Binaire</v>
      </c>
      <c r="D76" s="22" t="str">
        <f>REFERENTIEL!I61</f>
        <v>OUI</v>
      </c>
      <c r="E76" s="24">
        <f ca="1">IF($B$17=0,"",IF($C76&lt;&gt;"Taux",IFERROR(INDEX(IMP_DONNEES,$B$17,MATCH(REFERENTIEL!G61,IMP_ENTETES,0)),""),IF(IFERROR(INDEX(IMP_DONNEES,$B$17,MATCH(REFERENTIEL!G61&amp;"_statut",IMP_ENTETES,0)),"")="N","NA",IFERROR(INDEX(IMP_DONNEES,$B$17,MATCH(REFERENTIEL!G61&amp;"_num",IMP_ENTETES,0)),""))))</f>
      </c>
      <c r="F76" s="24">
        <f ca="1">IF($B$17=0,"",IF($C76&lt;&gt;"Taux","",IFERROR(INDEX(IMP_DONNEES,$B$17,MATCH(REFERENTIEL!G61&amp;"_den",IMP_ENTETES,0)),"")))</f>
      </c>
      <c r="G76" s="111"/>
      <c r="H76" s="111"/>
      <c r="I76" s="28">
        <f t="shared" ca="1" si="0"/>
      </c>
      <c r="J76" s="28" t="str">
        <f t="shared" si="1"/>
        <v/>
      </c>
      <c r="K76" s="23">
        <f t="shared" ca="1" si="2"/>
      </c>
      <c r="L76" s="28">
        <f ca="1">IF($B$17=0,"",IFERROR(INDEX(IMP_DONNEES,$B$17,MATCH(REFERENTIEL!G61&amp;"_obs",IMP_ENTETES,0)),""))</f>
      </c>
    </row>
    <row r="77" spans="1:12" ht="15.75" x14ac:dyDescent="0.25">
      <c r="A77" s="22" t="str">
        <f>REFERENTIEL!E62</f>
        <v>SE-CNF-1.3</v>
      </c>
      <c r="B77" s="22" t="str">
        <f>REFERENTIEL!F62</f>
        <v>Présence d'une trace de levée des recommandations formulées au rapport</v>
      </c>
      <c r="C77" s="22" t="str">
        <f>REFERENTIEL!H62</f>
        <v>Binaire</v>
      </c>
      <c r="D77" s="22" t="str">
        <f>REFERENTIEL!I62</f>
        <v>OUI</v>
      </c>
      <c r="E77" s="24">
        <f ca="1">IF($B$17=0,"",IF($C77&lt;&gt;"Taux",IFERROR(INDEX(IMP_DONNEES,$B$17,MATCH(REFERENTIEL!G62,IMP_ENTETES,0)),""),IF(IFERROR(INDEX(IMP_DONNEES,$B$17,MATCH(REFERENTIEL!G62&amp;"_statut",IMP_ENTETES,0)),"")="N","NA",IFERROR(INDEX(IMP_DONNEES,$B$17,MATCH(REFERENTIEL!G62&amp;"_num",IMP_ENTETES,0)),""))))</f>
      </c>
      <c r="F77" s="24">
        <f ca="1">IF($B$17=0,"",IF($C77&lt;&gt;"Taux","",IFERROR(INDEX(IMP_DONNEES,$B$17,MATCH(REFERENTIEL!G62&amp;"_den",IMP_ENTETES,0)),"")))</f>
      </c>
      <c r="G77" s="111"/>
      <c r="H77" s="111"/>
      <c r="I77" s="28">
        <f t="shared" ca="1" si="0"/>
      </c>
      <c r="J77" s="28" t="str">
        <f t="shared" si="1"/>
        <v/>
      </c>
      <c r="K77" s="23">
        <f t="shared" ca="1" si="2"/>
      </c>
      <c r="L77" s="28">
        <f ca="1">IF($B$17=0,"",IFERROR(INDEX(IMP_DONNEES,$B$17,MATCH(REFERENTIEL!G62&amp;"_obs",IMP_ENTETES,0)),""))</f>
      </c>
    </row>
    <row r="78" spans="1:12" ht="15.75" x14ac:dyDescent="0.25">
      <c r="A78" s="22" t="str">
        <f>REFERENTIEL!E63</f>
        <v>SE-CNF-1.4</v>
      </c>
      <c r="B78" s="22" t="str">
        <f>REFERENTIEL!F63</f>
        <v>Présence d'un registre des vérifications électriques tenu sur le chantier</v>
      </c>
      <c r="C78" s="22" t="str">
        <f>REFERENTIEL!H63</f>
        <v>Binaire</v>
      </c>
      <c r="D78" s="22" t="str">
        <f>REFERENTIEL!I63</f>
        <v>OUI</v>
      </c>
      <c r="E78" s="24">
        <f ca="1">IF($B$17=0,"",IF($C78&lt;&gt;"Taux",IFERROR(INDEX(IMP_DONNEES,$B$17,MATCH(REFERENTIEL!G63,IMP_ENTETES,0)),""),IF(IFERROR(INDEX(IMP_DONNEES,$B$17,MATCH(REFERENTIEL!G63&amp;"_statut",IMP_ENTETES,0)),"")="N","NA",IFERROR(INDEX(IMP_DONNEES,$B$17,MATCH(REFERENTIEL!G63&amp;"_num",IMP_ENTETES,0)),""))))</f>
      </c>
      <c r="F78" s="24">
        <f ca="1">IF($B$17=0,"",IF($C78&lt;&gt;"Taux","",IFERROR(INDEX(IMP_DONNEES,$B$17,MATCH(REFERENTIEL!G63&amp;"_den",IMP_ENTETES,0)),"")))</f>
      </c>
      <c r="G78" s="111"/>
      <c r="H78" s="111"/>
      <c r="I78" s="28">
        <f t="shared" ca="1" si="0"/>
      </c>
      <c r="J78" s="28" t="str">
        <f t="shared" si="1"/>
        <v/>
      </c>
      <c r="K78" s="23">
        <f t="shared" ca="1" si="2"/>
      </c>
      <c r="L78" s="28">
        <f ca="1">IF($B$17=0,"",IFERROR(INDEX(IMP_DONNEES,$B$17,MATCH(REFERENTIEL!G63&amp;"_obs",IMP_ENTETES,0)),""))</f>
      </c>
    </row>
    <row r="79" spans="1:12" ht="15.75" x14ac:dyDescent="0.25">
      <c r="A79" s="22" t="str">
        <f>REFERENTIEL!E64</f>
        <v>SE-CNF-2.1</v>
      </c>
      <c r="B79" s="22" t="str">
        <f>REFERENTIEL!F64</f>
        <v>Tenue d'un registre des accidents du travail sur le chantier</v>
      </c>
      <c r="C79" s="22" t="str">
        <f>REFERENTIEL!H64</f>
        <v>Binaire</v>
      </c>
      <c r="D79" s="22" t="str">
        <f>REFERENTIEL!I64</f>
        <v>NON</v>
      </c>
      <c r="E79" s="24">
        <f ca="1">IF($B$17=0,"",IF($C79&lt;&gt;"Taux",IFERROR(INDEX(IMP_DONNEES,$B$17,MATCH(REFERENTIEL!G64,IMP_ENTETES,0)),""),IF(IFERROR(INDEX(IMP_DONNEES,$B$17,MATCH(REFERENTIEL!G64&amp;"_statut",IMP_ENTETES,0)),"")="N","NA",IFERROR(INDEX(IMP_DONNEES,$B$17,MATCH(REFERENTIEL!G64&amp;"_num",IMP_ENTETES,0)),""))))</f>
      </c>
      <c r="F79" s="24">
        <f ca="1">IF($B$17=0,"",IF($C79&lt;&gt;"Taux","",IFERROR(INDEX(IMP_DONNEES,$B$17,MATCH(REFERENTIEL!G64&amp;"_den",IMP_ENTETES,0)),"")))</f>
      </c>
      <c r="G79" s="111"/>
      <c r="H79" s="111"/>
      <c r="I79" s="28">
        <f t="shared" ca="1" si="0"/>
      </c>
      <c r="J79" s="28" t="str">
        <f t="shared" si="1"/>
        <v/>
      </c>
      <c r="K79" s="23">
        <f t="shared" ca="1" si="2"/>
      </c>
      <c r="L79" s="28">
        <f ca="1">IF($B$17=0,"",IFERROR(INDEX(IMP_DONNEES,$B$17,MATCH(REFERENTIEL!G64&amp;"_obs",IMP_ENTETES,0)),""))</f>
      </c>
    </row>
    <row r="80" spans="1:12" ht="15.75" x14ac:dyDescent="0.25">
      <c r="A80" s="22" t="str">
        <f>REFERENTIEL!E65</f>
        <v>SE-CNF-2.2</v>
      </c>
      <c r="B80" s="22" t="str">
        <f>REFERENTIEL!F65</f>
        <v>Présence des déclarations transmises à l'inspection du travail et à la CNSS</v>
      </c>
      <c r="C80" s="22" t="str">
        <f>REFERENTIEL!H65</f>
        <v>Binaire</v>
      </c>
      <c r="D80" s="22" t="str">
        <f>REFERENTIEL!I65</f>
        <v>OUI</v>
      </c>
      <c r="E80" s="24">
        <f ca="1">IF($B$17=0,"",IF($C80&lt;&gt;"Taux",IFERROR(INDEX(IMP_DONNEES,$B$17,MATCH(REFERENTIEL!G65,IMP_ENTETES,0)),""),IF(IFERROR(INDEX(IMP_DONNEES,$B$17,MATCH(REFERENTIEL!G65&amp;"_statut",IMP_ENTETES,0)),"")="N","NA",IFERROR(INDEX(IMP_DONNEES,$B$17,MATCH(REFERENTIEL!G65&amp;"_num",IMP_ENTETES,0)),""))))</f>
      </c>
      <c r="F80" s="24">
        <f ca="1">IF($B$17=0,"",IF($C80&lt;&gt;"Taux","",IFERROR(INDEX(IMP_DONNEES,$B$17,MATCH(REFERENTIEL!G65&amp;"_den",IMP_ENTETES,0)),"")))</f>
      </c>
      <c r="G80" s="111"/>
      <c r="H80" s="111"/>
      <c r="I80" s="28">
        <f t="shared" ca="1" si="0"/>
      </c>
      <c r="J80" s="28" t="str">
        <f t="shared" si="1"/>
        <v/>
      </c>
      <c r="K80" s="23">
        <f t="shared" ca="1" si="2"/>
      </c>
      <c r="L80" s="28">
        <f ca="1">IF($B$17=0,"",IFERROR(INDEX(IMP_DONNEES,$B$17,MATCH(REFERENTIEL!G65&amp;"_obs",IMP_ENTETES,0)),""))</f>
      </c>
    </row>
    <row r="81" spans="1:12" ht="15.75" x14ac:dyDescent="0.25">
      <c r="A81" s="22" t="str">
        <f>REFERENTIEL!E66</f>
        <v>SE-CNF-2.3</v>
      </c>
      <c r="B81" s="22" t="str">
        <f>REFERENTIEL!F66</f>
        <v>Présence d'un affichage de la conduite à tenir en cas d'accident</v>
      </c>
      <c r="C81" s="22" t="str">
        <f>REFERENTIEL!H66</f>
        <v>Binaire</v>
      </c>
      <c r="D81" s="22" t="str">
        <f>REFERENTIEL!I66</f>
        <v>NON</v>
      </c>
      <c r="E81" s="24">
        <f ca="1">IF($B$17=0,"",IF($C81&lt;&gt;"Taux",IFERROR(INDEX(IMP_DONNEES,$B$17,MATCH(REFERENTIEL!G66,IMP_ENTETES,0)),""),IF(IFERROR(INDEX(IMP_DONNEES,$B$17,MATCH(REFERENTIEL!G66&amp;"_statut",IMP_ENTETES,0)),"")="N","NA",IFERROR(INDEX(IMP_DONNEES,$B$17,MATCH(REFERENTIEL!G66&amp;"_num",IMP_ENTETES,0)),""))))</f>
      </c>
      <c r="F81" s="24">
        <f ca="1">IF($B$17=0,"",IF($C81&lt;&gt;"Taux","",IFERROR(INDEX(IMP_DONNEES,$B$17,MATCH(REFERENTIEL!G66&amp;"_den",IMP_ENTETES,0)),"")))</f>
      </c>
      <c r="G81" s="111"/>
      <c r="H81" s="111"/>
      <c r="I81" s="28">
        <f t="shared" ca="1" si="0"/>
      </c>
      <c r="J81" s="28" t="str">
        <f t="shared" si="1"/>
        <v/>
      </c>
      <c r="K81" s="23">
        <f t="shared" ca="1" si="2"/>
      </c>
      <c r="L81" s="28">
        <f ca="1">IF($B$17=0,"",IFERROR(INDEX(IMP_DONNEES,$B$17,MATCH(REFERENTIEL!G66&amp;"_obs",IMP_ENTETES,0)),""))</f>
      </c>
    </row>
    <row r="82" spans="1:12" ht="15.75" x14ac:dyDescent="0.25">
      <c r="A82" s="22" t="str">
        <f>REFERENTIEL!E67</f>
        <v>SE-CNF-2.4</v>
      </c>
      <c r="B82" s="22" t="str">
        <f>REFERENTIEL!F67</f>
        <v>Présence d'un responsable désigné pour la déclaration des accidents</v>
      </c>
      <c r="C82" s="22" t="str">
        <f>REFERENTIEL!H67</f>
        <v>Binaire</v>
      </c>
      <c r="D82" s="22" t="str">
        <f>REFERENTIEL!I67</f>
        <v>NON</v>
      </c>
      <c r="E82" s="24">
        <f ca="1">IF($B$17=0,"",IF($C82&lt;&gt;"Taux",IFERROR(INDEX(IMP_DONNEES,$B$17,MATCH(REFERENTIEL!G67,IMP_ENTETES,0)),""),IF(IFERROR(INDEX(IMP_DONNEES,$B$17,MATCH(REFERENTIEL!G67&amp;"_statut",IMP_ENTETES,0)),"")="N","NA",IFERROR(INDEX(IMP_DONNEES,$B$17,MATCH(REFERENTIEL!G67&amp;"_num",IMP_ENTETES,0)),""))))</f>
      </c>
      <c r="F82" s="24">
        <f ca="1">IF($B$17=0,"",IF($C82&lt;&gt;"Taux","",IFERROR(INDEX(IMP_DONNEES,$B$17,MATCH(REFERENTIEL!G67&amp;"_den",IMP_ENTETES,0)),"")))</f>
      </c>
      <c r="G82" s="111"/>
      <c r="H82" s="111"/>
      <c r="I82" s="28">
        <f t="shared" ca="1" si="0"/>
      </c>
      <c r="J82" s="28" t="str">
        <f t="shared" si="1"/>
        <v/>
      </c>
      <c r="K82" s="23">
        <f t="shared" ca="1" si="2"/>
      </c>
      <c r="L82" s="28">
        <f ca="1">IF($B$17=0,"",IFERROR(INDEX(IMP_DONNEES,$B$17,MATCH(REFERENTIEL!G67&amp;"_obs",IMP_ENTETES,0)),""))</f>
      </c>
    </row>
    <row r="83" spans="1:12" ht="15.75" x14ac:dyDescent="0.25">
      <c r="A83" s="22" t="str">
        <f>REFERENTIEL!E68</f>
        <v>SE-CNF-3.1</v>
      </c>
      <c r="B83" s="22" t="str">
        <f>REFERENTIEL!F68</f>
        <v>Présence d'un comité d'hygiène et de sécurité constitué</v>
      </c>
      <c r="C83" s="22" t="str">
        <f>REFERENTIEL!H68</f>
        <v>Binaire</v>
      </c>
      <c r="D83" s="22" t="str">
        <f>REFERENTIEL!I68</f>
        <v>OUI</v>
      </c>
      <c r="E83" s="24">
        <f ca="1">IF($B$17=0,"",IF($C83&lt;&gt;"Taux",IFERROR(INDEX(IMP_DONNEES,$B$17,MATCH(REFERENTIEL!G68,IMP_ENTETES,0)),""),IF(IFERROR(INDEX(IMP_DONNEES,$B$17,MATCH(REFERENTIEL!G68&amp;"_statut",IMP_ENTETES,0)),"")="N","NA",IFERROR(INDEX(IMP_DONNEES,$B$17,MATCH(REFERENTIEL!G68&amp;"_num",IMP_ENTETES,0)),""))))</f>
      </c>
      <c r="F83" s="24">
        <f ca="1">IF($B$17=0,"",IF($C83&lt;&gt;"Taux","",IFERROR(INDEX(IMP_DONNEES,$B$17,MATCH(REFERENTIEL!G68&amp;"_den",IMP_ENTETES,0)),"")))</f>
      </c>
      <c r="G83" s="111"/>
      <c r="H83" s="111"/>
      <c r="I83" s="28">
        <f t="shared" ca="1" si="0"/>
      </c>
      <c r="J83" s="28" t="str">
        <f t="shared" si="1"/>
        <v/>
      </c>
      <c r="K83" s="23">
        <f t="shared" ca="1" si="2"/>
      </c>
      <c r="L83" s="28">
        <f ca="1">IF($B$17=0,"",IFERROR(INDEX(IMP_DONNEES,$B$17,MATCH(REFERENTIEL!G68&amp;"_obs",IMP_ENTETES,0)),""))</f>
      </c>
    </row>
    <row r="84" spans="1:12" ht="15.75" x14ac:dyDescent="0.25">
      <c r="A84" s="22" t="str">
        <f>REFERENTIEL!E69</f>
        <v>SE-CNF-3.2</v>
      </c>
      <c r="B84" s="22" t="str">
        <f>REFERENTIEL!F69</f>
        <v>Présence de l'affichage de la composition du comité sur le chantier</v>
      </c>
      <c r="C84" s="22" t="str">
        <f>REFERENTIEL!H69</f>
        <v>Binaire</v>
      </c>
      <c r="D84" s="22" t="str">
        <f>REFERENTIEL!I69</f>
        <v>OUI</v>
      </c>
      <c r="E84" s="24">
        <f ca="1">IF($B$17=0,"",IF($C84&lt;&gt;"Taux",IFERROR(INDEX(IMP_DONNEES,$B$17,MATCH(REFERENTIEL!G69,IMP_ENTETES,0)),""),IF(IFERROR(INDEX(IMP_DONNEES,$B$17,MATCH(REFERENTIEL!G69&amp;"_statut",IMP_ENTETES,0)),"")="N","NA",IFERROR(INDEX(IMP_DONNEES,$B$17,MATCH(REFERENTIEL!G69&amp;"_num",IMP_ENTETES,0)),""))))</f>
      </c>
      <c r="F84" s="24">
        <f ca="1">IF($B$17=0,"",IF($C84&lt;&gt;"Taux","",IFERROR(INDEX(IMP_DONNEES,$B$17,MATCH(REFERENTIEL!G69&amp;"_den",IMP_ENTETES,0)),"")))</f>
      </c>
      <c r="G84" s="111"/>
      <c r="H84" s="111"/>
      <c r="I84" s="28">
        <f t="shared" ref="I84:I147" ca="1" si="3">IF($B$17=0,"",IF($G84&lt;&gt;"",IF($G84="NA","",$G84),IF(OR($E84="",$E84="NA"),"",IFERROR($E84*1,""))))</f>
      </c>
      <c r="J84" s="28" t="str">
        <f t="shared" ref="J84:J147" si="4">IF($C84&lt;&gt;"Taux","",IF($H84&lt;&gt;"",$H84,IF($F84="","",IFERROR($F84*1,""))))</f>
        <v/>
      </c>
      <c r="K84" s="23">
        <f t="shared" ref="K84:K147" ca="1" si="5">IF($B$17=0,"",IF(OR($G84="NA",AND($G84="",$E84="NA")),IF($D84="OUI","NA","NA interdit"),IF($I84="","Manquant",IF($C84="Binaire",IF(OR($I84=0,$I84=1),"OK","Hors champ"),IF($C84="Maturité",IF(AND($I84&gt;=1,$I84&lt;=5,INT($I84)=$I84),"OK","Hors champ"),IF($I84&lt;0,"Hors champ",IF(OR($J84="",NOT(ISNUMBER($J84)),$J84&lt;=0),"Dén. invalide",IF($I84&gt;$J84,"Num. &gt; dén.","OK"))))))))</f>
      </c>
      <c r="L84" s="28">
        <f ca="1">IF($B$17=0,"",IFERROR(INDEX(IMP_DONNEES,$B$17,MATCH(REFERENTIEL!G69&amp;"_obs",IMP_ENTETES,0)),""))</f>
      </c>
    </row>
    <row r="85" spans="1:12" ht="15.75" x14ac:dyDescent="0.25">
      <c r="A85" s="22" t="str">
        <f>REFERENTIEL!E70</f>
        <v>SE-CNF-3.3</v>
      </c>
      <c r="B85" s="22" t="str">
        <f>REFERENTIEL!F70</f>
        <v>Taux de trimestres comportant au moins une réunion du comité sur les douze derniers mois</v>
      </c>
      <c r="C85" s="22" t="str">
        <f>REFERENTIEL!H70</f>
        <v>Taux</v>
      </c>
      <c r="D85" s="22" t="str">
        <f>REFERENTIEL!I70</f>
        <v>OUI</v>
      </c>
      <c r="E85" s="24">
        <f ca="1">IF($B$17=0,"",IF($C85&lt;&gt;"Taux",IFERROR(INDEX(IMP_DONNEES,$B$17,MATCH(REFERENTIEL!G70,IMP_ENTETES,0)),""),IF(IFERROR(INDEX(IMP_DONNEES,$B$17,MATCH(REFERENTIEL!G70&amp;"_statut",IMP_ENTETES,0)),"")="N","NA",IFERROR(INDEX(IMP_DONNEES,$B$17,MATCH(REFERENTIEL!G70&amp;"_num",IMP_ENTETES,0)),""))))</f>
      </c>
      <c r="F85" s="24">
        <f ca="1">IF($B$17=0,"",IF($C85&lt;&gt;"Taux","",IFERROR(INDEX(IMP_DONNEES,$B$17,MATCH(REFERENTIEL!G70&amp;"_den",IMP_ENTETES,0)),"")))</f>
      </c>
      <c r="G85" s="111"/>
      <c r="H85" s="111"/>
      <c r="I85" s="28">
        <f t="shared" ca="1" si="3"/>
      </c>
      <c r="J85" s="28">
        <f t="shared" ca="1" si="4"/>
      </c>
      <c r="K85" s="23">
        <f t="shared" ca="1" si="5"/>
      </c>
      <c r="L85" s="28">
        <f ca="1">IF($B$17=0,"",IFERROR(INDEX(IMP_DONNEES,$B$17,MATCH(REFERENTIEL!G70&amp;"_obs",IMP_ENTETES,0)),""))</f>
      </c>
    </row>
    <row r="86" spans="1:12" ht="15.75" x14ac:dyDescent="0.25">
      <c r="A86" s="22" t="str">
        <f>REFERENTIEL!E71</f>
        <v>SE-CNF-3.4</v>
      </c>
      <c r="B86" s="22" t="str">
        <f>REFERENTIEL!F71</f>
        <v>Présence des procès-verbaux portant une trace de transmission à l'inspection du travail</v>
      </c>
      <c r="C86" s="22" t="str">
        <f>REFERENTIEL!H71</f>
        <v>Binaire</v>
      </c>
      <c r="D86" s="22" t="str">
        <f>REFERENTIEL!I71</f>
        <v>OUI</v>
      </c>
      <c r="E86" s="24">
        <f ca="1">IF($B$17=0,"",IF($C86&lt;&gt;"Taux",IFERROR(INDEX(IMP_DONNEES,$B$17,MATCH(REFERENTIEL!G71,IMP_ENTETES,0)),""),IF(IFERROR(INDEX(IMP_DONNEES,$B$17,MATCH(REFERENTIEL!G71&amp;"_statut",IMP_ENTETES,0)),"")="N","NA",IFERROR(INDEX(IMP_DONNEES,$B$17,MATCH(REFERENTIEL!G71&amp;"_num",IMP_ENTETES,0)),""))))</f>
      </c>
      <c r="F86" s="24">
        <f ca="1">IF($B$17=0,"",IF($C86&lt;&gt;"Taux","",IFERROR(INDEX(IMP_DONNEES,$B$17,MATCH(REFERENTIEL!G71&amp;"_den",IMP_ENTETES,0)),"")))</f>
      </c>
      <c r="G86" s="111"/>
      <c r="H86" s="111"/>
      <c r="I86" s="28">
        <f t="shared" ca="1" si="3"/>
      </c>
      <c r="J86" s="28" t="str">
        <f t="shared" si="4"/>
        <v/>
      </c>
      <c r="K86" s="23">
        <f t="shared" ca="1" si="5"/>
      </c>
      <c r="L86" s="28">
        <f ca="1">IF($B$17=0,"",IFERROR(INDEX(IMP_DONNEES,$B$17,MATCH(REFERENTIEL!G71&amp;"_obs",IMP_ENTETES,0)),""))</f>
      </c>
    </row>
    <row r="87" spans="1:12" ht="15.75" x14ac:dyDescent="0.25">
      <c r="A87" s="22" t="str">
        <f>REFERENTIEL!E72</f>
        <v>EN-PRV-1.1</v>
      </c>
      <c r="B87" s="22" t="str">
        <f>REFERENTIEL!F72</f>
        <v>Présence d'un plan de gestion des déchets propre au chantier</v>
      </c>
      <c r="C87" s="22" t="str">
        <f>REFERENTIEL!H72</f>
        <v>Binaire</v>
      </c>
      <c r="D87" s="22" t="str">
        <f>REFERENTIEL!I72</f>
        <v>NON</v>
      </c>
      <c r="E87" s="24">
        <f ca="1">IF($B$17=0,"",IF($C87&lt;&gt;"Taux",IFERROR(INDEX(IMP_DONNEES,$B$17,MATCH(REFERENTIEL!G72,IMP_ENTETES,0)),""),IF(IFERROR(INDEX(IMP_DONNEES,$B$17,MATCH(REFERENTIEL!G72&amp;"_statut",IMP_ENTETES,0)),"")="N","NA",IFERROR(INDEX(IMP_DONNEES,$B$17,MATCH(REFERENTIEL!G72&amp;"_num",IMP_ENTETES,0)),""))))</f>
      </c>
      <c r="F87" s="24">
        <f ca="1">IF($B$17=0,"",IF($C87&lt;&gt;"Taux","",IFERROR(INDEX(IMP_DONNEES,$B$17,MATCH(REFERENTIEL!G72&amp;"_den",IMP_ENTETES,0)),"")))</f>
      </c>
      <c r="G87" s="111"/>
      <c r="H87" s="111"/>
      <c r="I87" s="28">
        <f t="shared" ca="1" si="3"/>
      </c>
      <c r="J87" s="28" t="str">
        <f t="shared" si="4"/>
        <v/>
      </c>
      <c r="K87" s="23">
        <f t="shared" ca="1" si="5"/>
      </c>
      <c r="L87" s="28">
        <f ca="1">IF($B$17=0,"",IFERROR(INDEX(IMP_DONNEES,$B$17,MATCH(REFERENTIEL!G72&amp;"_obs",IMP_ENTETES,0)),""))</f>
      </c>
    </row>
    <row r="88" spans="1:12" ht="15.75" x14ac:dyDescent="0.25">
      <c r="A88" s="22" t="str">
        <f>REFERENTIEL!E73</f>
        <v>EN-PRV-1.2</v>
      </c>
      <c r="B88" s="22" t="str">
        <f>REFERENTIEL!F73</f>
        <v>Présence d'un contrat avec une structure agréée</v>
      </c>
      <c r="C88" s="22" t="str">
        <f>REFERENTIEL!H73</f>
        <v>Binaire</v>
      </c>
      <c r="D88" s="22" t="str">
        <f>REFERENTIEL!I73</f>
        <v>NON</v>
      </c>
      <c r="E88" s="24">
        <f ca="1">IF($B$17=0,"",IF($C88&lt;&gt;"Taux",IFERROR(INDEX(IMP_DONNEES,$B$17,MATCH(REFERENTIEL!G73,IMP_ENTETES,0)),""),IF(IFERROR(INDEX(IMP_DONNEES,$B$17,MATCH(REFERENTIEL!G73&amp;"_statut",IMP_ENTETES,0)),"")="N","NA",IFERROR(INDEX(IMP_DONNEES,$B$17,MATCH(REFERENTIEL!G73&amp;"_num",IMP_ENTETES,0)),""))))</f>
      </c>
      <c r="F88" s="24">
        <f ca="1">IF($B$17=0,"",IF($C88&lt;&gt;"Taux","",IFERROR(INDEX(IMP_DONNEES,$B$17,MATCH(REFERENTIEL!G73&amp;"_den",IMP_ENTETES,0)),"")))</f>
      </c>
      <c r="G88" s="111"/>
      <c r="H88" s="111"/>
      <c r="I88" s="28">
        <f t="shared" ca="1" si="3"/>
      </c>
      <c r="J88" s="28" t="str">
        <f t="shared" si="4"/>
        <v/>
      </c>
      <c r="K88" s="23">
        <f t="shared" ca="1" si="5"/>
      </c>
      <c r="L88" s="28">
        <f ca="1">IF($B$17=0,"",IFERROR(INDEX(IMP_DONNEES,$B$17,MATCH(REFERENTIEL!G73&amp;"_obs",IMP_ENTETES,0)),""))</f>
      </c>
    </row>
    <row r="89" spans="1:12" ht="15.75" x14ac:dyDescent="0.25">
      <c r="A89" s="22" t="str">
        <f>REFERENTIEL!E74</f>
        <v>EN-PRV-1.3</v>
      </c>
      <c r="B89" s="22" t="str">
        <f>REFERENTIEL!F74</f>
        <v>Présence de contenants répartis là où les déchets se produisent</v>
      </c>
      <c r="C89" s="22" t="str">
        <f>REFERENTIEL!H74</f>
        <v>Binaire</v>
      </c>
      <c r="D89" s="22" t="str">
        <f>REFERENTIEL!I74</f>
        <v>NON</v>
      </c>
      <c r="E89" s="24">
        <f ca="1">IF($B$17=0,"",IF($C89&lt;&gt;"Taux",IFERROR(INDEX(IMP_DONNEES,$B$17,MATCH(REFERENTIEL!G74,IMP_ENTETES,0)),""),IF(IFERROR(INDEX(IMP_DONNEES,$B$17,MATCH(REFERENTIEL!G74&amp;"_statut",IMP_ENTETES,0)),"")="N","NA",IFERROR(INDEX(IMP_DONNEES,$B$17,MATCH(REFERENTIEL!G74&amp;"_num",IMP_ENTETES,0)),""))))</f>
      </c>
      <c r="F89" s="24">
        <f ca="1">IF($B$17=0,"",IF($C89&lt;&gt;"Taux","",IFERROR(INDEX(IMP_DONNEES,$B$17,MATCH(REFERENTIEL!G74&amp;"_den",IMP_ENTETES,0)),"")))</f>
      </c>
      <c r="G89" s="111"/>
      <c r="H89" s="111"/>
      <c r="I89" s="28">
        <f t="shared" ca="1" si="3"/>
      </c>
      <c r="J89" s="28" t="str">
        <f t="shared" si="4"/>
        <v/>
      </c>
      <c r="K89" s="23">
        <f t="shared" ca="1" si="5"/>
      </c>
      <c r="L89" s="28">
        <f ca="1">IF($B$17=0,"",IFERROR(INDEX(IMP_DONNEES,$B$17,MATCH(REFERENTIEL!G74&amp;"_obs",IMP_ENTETES,0)),""))</f>
      </c>
    </row>
    <row r="90" spans="1:12" ht="15.75" x14ac:dyDescent="0.25">
      <c r="A90" s="22" t="str">
        <f>REFERENTIEL!E75</f>
        <v>EN-PRV-1.4</v>
      </c>
      <c r="B90" s="22" t="str">
        <f>REFERENTIEL!F75</f>
        <v>Taux de travailleurs ayant reçu une consigne sur le tri des déchets</v>
      </c>
      <c r="C90" s="22" t="str">
        <f>REFERENTIEL!H75</f>
        <v>Taux</v>
      </c>
      <c r="D90" s="22" t="str">
        <f>REFERENTIEL!I75</f>
        <v>NON</v>
      </c>
      <c r="E90" s="24">
        <f ca="1">IF($B$17=0,"",IF($C90&lt;&gt;"Taux",IFERROR(INDEX(IMP_DONNEES,$B$17,MATCH(REFERENTIEL!G75,IMP_ENTETES,0)),""),IF(IFERROR(INDEX(IMP_DONNEES,$B$17,MATCH(REFERENTIEL!G75&amp;"_statut",IMP_ENTETES,0)),"")="N","NA",IFERROR(INDEX(IMP_DONNEES,$B$17,MATCH(REFERENTIEL!G75&amp;"_num",IMP_ENTETES,0)),""))))</f>
      </c>
      <c r="F90" s="24">
        <f ca="1">IF($B$17=0,"",IF($C90&lt;&gt;"Taux","",IFERROR(INDEX(IMP_DONNEES,$B$17,MATCH(REFERENTIEL!G75&amp;"_den",IMP_ENTETES,0)),"")))</f>
      </c>
      <c r="G90" s="111"/>
      <c r="H90" s="111"/>
      <c r="I90" s="28">
        <f t="shared" ca="1" si="3"/>
      </c>
      <c r="J90" s="28">
        <f t="shared" ca="1" si="4"/>
      </c>
      <c r="K90" s="23">
        <f t="shared" ca="1" si="5"/>
      </c>
      <c r="L90" s="28">
        <f ca="1">IF($B$17=0,"",IFERROR(INDEX(IMP_DONNEES,$B$17,MATCH(REFERENTIEL!G75&amp;"_obs",IMP_ENTETES,0)),""))</f>
      </c>
    </row>
    <row r="91" spans="1:12" ht="15.75" x14ac:dyDescent="0.25">
      <c r="A91" s="22" t="str">
        <f>REFERENTIEL!E76</f>
        <v>EN-PRV-2.1</v>
      </c>
      <c r="B91" s="22" t="str">
        <f>REFERENTIEL!F76</f>
        <v>Présence d'une aire de stockage des hydrocarbures délimitée et identifiée</v>
      </c>
      <c r="C91" s="22" t="str">
        <f>REFERENTIEL!H76</f>
        <v>Binaire</v>
      </c>
      <c r="D91" s="22" t="str">
        <f>REFERENTIEL!I76</f>
        <v>OUI</v>
      </c>
      <c r="E91" s="24">
        <f ca="1">IF($B$17=0,"",IF($C91&lt;&gt;"Taux",IFERROR(INDEX(IMP_DONNEES,$B$17,MATCH(REFERENTIEL!G76,IMP_ENTETES,0)),""),IF(IFERROR(INDEX(IMP_DONNEES,$B$17,MATCH(REFERENTIEL!G76&amp;"_statut",IMP_ENTETES,0)),"")="N","NA",IFERROR(INDEX(IMP_DONNEES,$B$17,MATCH(REFERENTIEL!G76&amp;"_num",IMP_ENTETES,0)),""))))</f>
      </c>
      <c r="F91" s="24">
        <f ca="1">IF($B$17=0,"",IF($C91&lt;&gt;"Taux","",IFERROR(INDEX(IMP_DONNEES,$B$17,MATCH(REFERENTIEL!G76&amp;"_den",IMP_ENTETES,0)),"")))</f>
      </c>
      <c r="G91" s="111"/>
      <c r="H91" s="111"/>
      <c r="I91" s="28">
        <f t="shared" ca="1" si="3"/>
      </c>
      <c r="J91" s="28" t="str">
        <f t="shared" si="4"/>
        <v/>
      </c>
      <c r="K91" s="23">
        <f t="shared" ca="1" si="5"/>
      </c>
      <c r="L91" s="28">
        <f ca="1">IF($B$17=0,"",IFERROR(INDEX(IMP_DONNEES,$B$17,MATCH(REFERENTIEL!G76&amp;"_obs",IMP_ENTETES,0)),""))</f>
      </c>
    </row>
    <row r="92" spans="1:12" ht="15.75" x14ac:dyDescent="0.25">
      <c r="A92" s="22" t="str">
        <f>REFERENTIEL!E77</f>
        <v>EN-PRV-2.2</v>
      </c>
      <c r="B92" s="22" t="str">
        <f>REFERENTIEL!F77</f>
        <v>Présence de contenants d’hydrocarbures en bon état sur l’aire de stockage</v>
      </c>
      <c r="C92" s="22" t="str">
        <f>REFERENTIEL!H77</f>
        <v>Binaire</v>
      </c>
      <c r="D92" s="22" t="str">
        <f>REFERENTIEL!I77</f>
        <v>OUI</v>
      </c>
      <c r="E92" s="24">
        <f ca="1">IF($B$17=0,"",IF($C92&lt;&gt;"Taux",IFERROR(INDEX(IMP_DONNEES,$B$17,MATCH(REFERENTIEL!G77,IMP_ENTETES,0)),""),IF(IFERROR(INDEX(IMP_DONNEES,$B$17,MATCH(REFERENTIEL!G77&amp;"_statut",IMP_ENTETES,0)),"")="N","NA",IFERROR(INDEX(IMP_DONNEES,$B$17,MATCH(REFERENTIEL!G77&amp;"_num",IMP_ENTETES,0)),""))))</f>
      </c>
      <c r="F92" s="24">
        <f ca="1">IF($B$17=0,"",IF($C92&lt;&gt;"Taux","",IFERROR(INDEX(IMP_DONNEES,$B$17,MATCH(REFERENTIEL!G77&amp;"_den",IMP_ENTETES,0)),"")))</f>
      </c>
      <c r="G92" s="111"/>
      <c r="H92" s="111"/>
      <c r="I92" s="28">
        <f t="shared" ca="1" si="3"/>
      </c>
      <c r="J92" s="28" t="str">
        <f t="shared" si="4"/>
        <v/>
      </c>
      <c r="K92" s="23">
        <f t="shared" ca="1" si="5"/>
      </c>
      <c r="L92" s="28">
        <f ca="1">IF($B$17=0,"",IFERROR(INDEX(IMP_DONNEES,$B$17,MATCH(REFERENTIEL!G77&amp;"_obs",IMP_ENTETES,0)),""))</f>
      </c>
    </row>
    <row r="93" spans="1:12" ht="15.75" x14ac:dyDescent="0.25">
      <c r="A93" s="22" t="str">
        <f>REFERENTIEL!E78</f>
        <v>EN-PRV-2.3</v>
      </c>
      <c r="B93" s="22" t="str">
        <f>REFERENTIEL!F78</f>
        <v>Présence de sanitaires raccordés à une fosse ou à un dispositif de collecte étanche, situé à plus de quinze mètres de tout point d'eau</v>
      </c>
      <c r="C93" s="22" t="str">
        <f>REFERENTIEL!H78</f>
        <v>Binaire</v>
      </c>
      <c r="D93" s="22" t="str">
        <f>REFERENTIEL!I78</f>
        <v>NON</v>
      </c>
      <c r="E93" s="24">
        <f ca="1">IF($B$17=0,"",IF($C93&lt;&gt;"Taux",IFERROR(INDEX(IMP_DONNEES,$B$17,MATCH(REFERENTIEL!G78,IMP_ENTETES,0)),""),IF(IFERROR(INDEX(IMP_DONNEES,$B$17,MATCH(REFERENTIEL!G78&amp;"_statut",IMP_ENTETES,0)),"")="N","NA",IFERROR(INDEX(IMP_DONNEES,$B$17,MATCH(REFERENTIEL!G78&amp;"_num",IMP_ENTETES,0)),""))))</f>
      </c>
      <c r="F93" s="24">
        <f ca="1">IF($B$17=0,"",IF($C93&lt;&gt;"Taux","",IFERROR(INDEX(IMP_DONNEES,$B$17,MATCH(REFERENTIEL!G78&amp;"_den",IMP_ENTETES,0)),"")))</f>
      </c>
      <c r="G93" s="111"/>
      <c r="H93" s="111"/>
      <c r="I93" s="28">
        <f t="shared" ca="1" si="3"/>
      </c>
      <c r="J93" s="28" t="str">
        <f t="shared" si="4"/>
        <v/>
      </c>
      <c r="K93" s="23">
        <f t="shared" ca="1" si="5"/>
      </c>
      <c r="L93" s="28">
        <f ca="1">IF($B$17=0,"",IFERROR(INDEX(IMP_DONNEES,$B$17,MATCH(REFERENTIEL!G78&amp;"_obs",IMP_ENTETES,0)),""))</f>
      </c>
    </row>
    <row r="94" spans="1:12" ht="15.75" x14ac:dyDescent="0.25">
      <c r="A94" s="22" t="str">
        <f>REFERENTIEL!E79</f>
        <v>EN-PRV-2.4</v>
      </c>
      <c r="B94" s="22" t="str">
        <f>REFERENTIEL!F79</f>
        <v>Présence d'une organisation de vidange définie</v>
      </c>
      <c r="C94" s="22" t="str">
        <f>REFERENTIEL!H79</f>
        <v>Binaire</v>
      </c>
      <c r="D94" s="22" t="str">
        <f>REFERENTIEL!I79</f>
        <v>NON</v>
      </c>
      <c r="E94" s="24">
        <f ca="1">IF($B$17=0,"",IF($C94&lt;&gt;"Taux",IFERROR(INDEX(IMP_DONNEES,$B$17,MATCH(REFERENTIEL!G79,IMP_ENTETES,0)),""),IF(IFERROR(INDEX(IMP_DONNEES,$B$17,MATCH(REFERENTIEL!G79&amp;"_statut",IMP_ENTETES,0)),"")="N","NA",IFERROR(INDEX(IMP_DONNEES,$B$17,MATCH(REFERENTIEL!G79&amp;"_num",IMP_ENTETES,0)),""))))</f>
      </c>
      <c r="F94" s="24">
        <f ca="1">IF($B$17=0,"",IF($C94&lt;&gt;"Taux","",IFERROR(INDEX(IMP_DONNEES,$B$17,MATCH(REFERENTIEL!G79&amp;"_den",IMP_ENTETES,0)),"")))</f>
      </c>
      <c r="G94" s="111"/>
      <c r="H94" s="111"/>
      <c r="I94" s="28">
        <f t="shared" ca="1" si="3"/>
      </c>
      <c r="J94" s="28" t="str">
        <f t="shared" si="4"/>
        <v/>
      </c>
      <c r="K94" s="23">
        <f t="shared" ca="1" si="5"/>
      </c>
      <c r="L94" s="28">
        <f ca="1">IF($B$17=0,"",IFERROR(INDEX(IMP_DONNEES,$B$17,MATCH(REFERENTIEL!G79&amp;"_obs",IMP_ENTETES,0)),""))</f>
      </c>
    </row>
    <row r="95" spans="1:12" ht="15.75" x14ac:dyDescent="0.25">
      <c r="A95" s="22" t="str">
        <f>REFERENTIEL!E80</f>
        <v>EN-PRV-3.1</v>
      </c>
      <c r="B95" s="22" t="str">
        <f>REFERENTIEL!F80</f>
        <v>Absence de fumée noire à l'échappement des engins et véhicules en fonctionnement</v>
      </c>
      <c r="C95" s="22" t="str">
        <f>REFERENTIEL!H80</f>
        <v>Binaire</v>
      </c>
      <c r="D95" s="22" t="str">
        <f>REFERENTIEL!I80</f>
        <v>OUI</v>
      </c>
      <c r="E95" s="24">
        <f ca="1">IF($B$17=0,"",IF($C95&lt;&gt;"Taux",IFERROR(INDEX(IMP_DONNEES,$B$17,MATCH(REFERENTIEL!G80,IMP_ENTETES,0)),""),IF(IFERROR(INDEX(IMP_DONNEES,$B$17,MATCH(REFERENTIEL!G80&amp;"_statut",IMP_ENTETES,0)),"")="N","NA",IFERROR(INDEX(IMP_DONNEES,$B$17,MATCH(REFERENTIEL!G80&amp;"_num",IMP_ENTETES,0)),""))))</f>
      </c>
      <c r="F95" s="24">
        <f ca="1">IF($B$17=0,"",IF($C95&lt;&gt;"Taux","",IFERROR(INDEX(IMP_DONNEES,$B$17,MATCH(REFERENTIEL!G80&amp;"_den",IMP_ENTETES,0)),"")))</f>
      </c>
      <c r="G95" s="111"/>
      <c r="H95" s="111"/>
      <c r="I95" s="28">
        <f t="shared" ca="1" si="3"/>
      </c>
      <c r="J95" s="28" t="str">
        <f t="shared" si="4"/>
        <v/>
      </c>
      <c r="K95" s="23">
        <f t="shared" ca="1" si="5"/>
      </c>
      <c r="L95" s="28">
        <f ca="1">IF($B$17=0,"",IFERROR(INDEX(IMP_DONNEES,$B$17,MATCH(REFERENTIEL!G80&amp;"_obs",IMP_ENTETES,0)),""))</f>
      </c>
    </row>
    <row r="96" spans="1:12" ht="15.75" x14ac:dyDescent="0.25">
      <c r="A96" s="22" t="str">
        <f>REFERENTIEL!E81</f>
        <v>EN-PRV-3.2</v>
      </c>
      <c r="B96" s="22" t="str">
        <f>REFERENTIEL!F81</f>
        <v>Absence de fuite visible sous les engins et véhicules</v>
      </c>
      <c r="C96" s="22" t="str">
        <f>REFERENTIEL!H81</f>
        <v>Binaire</v>
      </c>
      <c r="D96" s="22" t="str">
        <f>REFERENTIEL!I81</f>
        <v>OUI</v>
      </c>
      <c r="E96" s="24">
        <f ca="1">IF($B$17=0,"",IF($C96&lt;&gt;"Taux",IFERROR(INDEX(IMP_DONNEES,$B$17,MATCH(REFERENTIEL!G81,IMP_ENTETES,0)),""),IF(IFERROR(INDEX(IMP_DONNEES,$B$17,MATCH(REFERENTIEL!G81&amp;"_statut",IMP_ENTETES,0)),"")="N","NA",IFERROR(INDEX(IMP_DONNEES,$B$17,MATCH(REFERENTIEL!G81&amp;"_num",IMP_ENTETES,0)),""))))</f>
      </c>
      <c r="F96" s="24">
        <f ca="1">IF($B$17=0,"",IF($C96&lt;&gt;"Taux","",IFERROR(INDEX(IMP_DONNEES,$B$17,MATCH(REFERENTIEL!G81&amp;"_den",IMP_ENTETES,0)),"")))</f>
      </c>
      <c r="G96" s="111"/>
      <c r="H96" s="111"/>
      <c r="I96" s="28">
        <f t="shared" ca="1" si="3"/>
      </c>
      <c r="J96" s="28" t="str">
        <f t="shared" si="4"/>
        <v/>
      </c>
      <c r="K96" s="23">
        <f t="shared" ca="1" si="5"/>
      </c>
      <c r="L96" s="28">
        <f ca="1">IF($B$17=0,"",IFERROR(INDEX(IMP_DONNEES,$B$17,MATCH(REFERENTIEL!G81&amp;"_obs",IMP_ENTETES,0)),""))</f>
      </c>
    </row>
    <row r="97" spans="1:12" ht="15.75" x14ac:dyDescent="0.25">
      <c r="A97" s="22" t="str">
        <f>REFERENTIEL!E82</f>
        <v>EN-PRV-3.3</v>
      </c>
      <c r="B97" s="22" t="str">
        <f>REFERENTIEL!F82</f>
        <v>Absence de brulage de déchets sur l’emprise</v>
      </c>
      <c r="C97" s="22" t="str">
        <f>REFERENTIEL!H82</f>
        <v>Binaire</v>
      </c>
      <c r="D97" s="22" t="str">
        <f>REFERENTIEL!I82</f>
        <v>NON</v>
      </c>
      <c r="E97" s="24">
        <f ca="1">IF($B$17=0,"",IF($C97&lt;&gt;"Taux",IFERROR(INDEX(IMP_DONNEES,$B$17,MATCH(REFERENTIEL!G82,IMP_ENTETES,0)),""),IF(IFERROR(INDEX(IMP_DONNEES,$B$17,MATCH(REFERENTIEL!G82&amp;"_statut",IMP_ENTETES,0)),"")="N","NA",IFERROR(INDEX(IMP_DONNEES,$B$17,MATCH(REFERENTIEL!G82&amp;"_num",IMP_ENTETES,0)),""))))</f>
      </c>
      <c r="F97" s="24">
        <f ca="1">IF($B$17=0,"",IF($C97&lt;&gt;"Taux","",IFERROR(INDEX(IMP_DONNEES,$B$17,MATCH(REFERENTIEL!G82&amp;"_den",IMP_ENTETES,0)),"")))</f>
      </c>
      <c r="G97" s="111"/>
      <c r="H97" s="111"/>
      <c r="I97" s="28">
        <f t="shared" ca="1" si="3"/>
      </c>
      <c r="J97" s="28" t="str">
        <f t="shared" si="4"/>
        <v/>
      </c>
      <c r="K97" s="23">
        <f t="shared" ca="1" si="5"/>
      </c>
      <c r="L97" s="28">
        <f ca="1">IF($B$17=0,"",IFERROR(INDEX(IMP_DONNEES,$B$17,MATCH(REFERENTIEL!G82&amp;"_obs",IMP_ENTETES,0)),""))</f>
      </c>
    </row>
    <row r="98" spans="1:12" ht="15.75" x14ac:dyDescent="0.25">
      <c r="A98" s="22" t="str">
        <f>REFERENTIEL!E83</f>
        <v>EN-PRV-3.4</v>
      </c>
      <c r="B98" s="22" t="str">
        <f>REFERENTIEL!F83</f>
        <v>Présence d'un bâchage des camions transportant du sable, du ciment, de la latérite ou du gravier fin</v>
      </c>
      <c r="C98" s="22" t="str">
        <f>REFERENTIEL!H83</f>
        <v>Binaire</v>
      </c>
      <c r="D98" s="22" t="str">
        <f>REFERENTIEL!I83</f>
        <v>OUI</v>
      </c>
      <c r="E98" s="24">
        <f ca="1">IF($B$17=0,"",IF($C98&lt;&gt;"Taux",IFERROR(INDEX(IMP_DONNEES,$B$17,MATCH(REFERENTIEL!G83,IMP_ENTETES,0)),""),IF(IFERROR(INDEX(IMP_DONNEES,$B$17,MATCH(REFERENTIEL!G83&amp;"_statut",IMP_ENTETES,0)),"")="N","NA",IFERROR(INDEX(IMP_DONNEES,$B$17,MATCH(REFERENTIEL!G83&amp;"_num",IMP_ENTETES,0)),""))))</f>
      </c>
      <c r="F98" s="24">
        <f ca="1">IF($B$17=0,"",IF($C98&lt;&gt;"Taux","",IFERROR(INDEX(IMP_DONNEES,$B$17,MATCH(REFERENTIEL!G83&amp;"_den",IMP_ENTETES,0)),"")))</f>
      </c>
      <c r="G98" s="111"/>
      <c r="H98" s="111"/>
      <c r="I98" s="28">
        <f t="shared" ca="1" si="3"/>
      </c>
      <c r="J98" s="28" t="str">
        <f t="shared" si="4"/>
        <v/>
      </c>
      <c r="K98" s="23">
        <f t="shared" ca="1" si="5"/>
      </c>
      <c r="L98" s="28">
        <f ca="1">IF($B$17=0,"",IFERROR(INDEX(IMP_DONNEES,$B$17,MATCH(REFERENTIEL!G83&amp;"_obs",IMP_ENTETES,0)),""))</f>
      </c>
    </row>
    <row r="99" spans="1:12" ht="15.75" x14ac:dyDescent="0.25">
      <c r="A99" s="22" t="str">
        <f>REFERENTIEL!E84</f>
        <v>EN-PRT-1.1</v>
      </c>
      <c r="B99" s="22" t="str">
        <f>REFERENTIEL!F84</f>
        <v>Présence de matériel absorbant disponible sur l'aire de stockage</v>
      </c>
      <c r="C99" s="22" t="str">
        <f>REFERENTIEL!H84</f>
        <v>Binaire</v>
      </c>
      <c r="D99" s="22" t="str">
        <f>REFERENTIEL!I84</f>
        <v>OUI</v>
      </c>
      <c r="E99" s="24">
        <f ca="1">IF($B$17=0,"",IF($C99&lt;&gt;"Taux",IFERROR(INDEX(IMP_DONNEES,$B$17,MATCH(REFERENTIEL!G84,IMP_ENTETES,0)),""),IF(IFERROR(INDEX(IMP_DONNEES,$B$17,MATCH(REFERENTIEL!G84&amp;"_statut",IMP_ENTETES,0)),"")="N","NA",IFERROR(INDEX(IMP_DONNEES,$B$17,MATCH(REFERENTIEL!G84&amp;"_num",IMP_ENTETES,0)),""))))</f>
      </c>
      <c r="F99" s="24">
        <f ca="1">IF($B$17=0,"",IF($C99&lt;&gt;"Taux","",IFERROR(INDEX(IMP_DONNEES,$B$17,MATCH(REFERENTIEL!G84&amp;"_den",IMP_ENTETES,0)),"")))</f>
      </c>
      <c r="G99" s="111"/>
      <c r="H99" s="111"/>
      <c r="I99" s="28">
        <f t="shared" ca="1" si="3"/>
      </c>
      <c r="J99" s="28" t="str">
        <f t="shared" si="4"/>
        <v/>
      </c>
      <c r="K99" s="23">
        <f t="shared" ca="1" si="5"/>
      </c>
      <c r="L99" s="28">
        <f ca="1">IF($B$17=0,"",IFERROR(INDEX(IMP_DONNEES,$B$17,MATCH(REFERENTIEL!G84&amp;"_obs",IMP_ENTETES,0)),""))</f>
      </c>
    </row>
    <row r="100" spans="1:12" ht="15.75" x14ac:dyDescent="0.25">
      <c r="A100" s="22" t="str">
        <f>REFERENTIEL!E85</f>
        <v>EN-PRT-1.2</v>
      </c>
      <c r="B100" s="22" t="str">
        <f>REFERENTIEL!F85</f>
        <v>Présence d'un sol étanche, d'une dalle ou d'une bâche sous la zone de stockage des liquides</v>
      </c>
      <c r="C100" s="22" t="str">
        <f>REFERENTIEL!H85</f>
        <v>Binaire</v>
      </c>
      <c r="D100" s="22" t="str">
        <f>REFERENTIEL!I85</f>
        <v>OUI</v>
      </c>
      <c r="E100" s="24">
        <f ca="1">IF($B$17=0,"",IF($C100&lt;&gt;"Taux",IFERROR(INDEX(IMP_DONNEES,$B$17,MATCH(REFERENTIEL!G85,IMP_ENTETES,0)),""),IF(IFERROR(INDEX(IMP_DONNEES,$B$17,MATCH(REFERENTIEL!G85&amp;"_statut",IMP_ENTETES,0)),"")="N","NA",IFERROR(INDEX(IMP_DONNEES,$B$17,MATCH(REFERENTIEL!G85&amp;"_num",IMP_ENTETES,0)),""))))</f>
      </c>
      <c r="F100" s="24">
        <f ca="1">IF($B$17=0,"",IF($C100&lt;&gt;"Taux","",IFERROR(INDEX(IMP_DONNEES,$B$17,MATCH(REFERENTIEL!G85&amp;"_den",IMP_ENTETES,0)),"")))</f>
      </c>
      <c r="G100" s="111"/>
      <c r="H100" s="111"/>
      <c r="I100" s="28">
        <f t="shared" ca="1" si="3"/>
      </c>
      <c r="J100" s="28" t="str">
        <f t="shared" si="4"/>
        <v/>
      </c>
      <c r="K100" s="23">
        <f t="shared" ca="1" si="5"/>
      </c>
      <c r="L100" s="28">
        <f ca="1">IF($B$17=0,"",IFERROR(INDEX(IMP_DONNEES,$B$17,MATCH(REFERENTIEL!G85&amp;"_obs",IMP_ENTETES,0)),""))</f>
      </c>
    </row>
    <row r="101" spans="1:12" ht="15.75" x14ac:dyDescent="0.25">
      <c r="A101" s="22" t="str">
        <f>REFERENTIEL!E86</f>
        <v>EN-PRT-1.3</v>
      </c>
      <c r="B101" s="22" t="str">
        <f>REFERENTIEL!F86</f>
        <v>Absence de sol imprégné ou de trace de déversement non traitée sur l'emprise</v>
      </c>
      <c r="C101" s="22" t="str">
        <f>REFERENTIEL!H86</f>
        <v>Binaire</v>
      </c>
      <c r="D101" s="22" t="str">
        <f>REFERENTIEL!I86</f>
        <v>OUI</v>
      </c>
      <c r="E101" s="24">
        <f ca="1">IF($B$17=0,"",IF($C101&lt;&gt;"Taux",IFERROR(INDEX(IMP_DONNEES,$B$17,MATCH(REFERENTIEL!G86,IMP_ENTETES,0)),""),IF(IFERROR(INDEX(IMP_DONNEES,$B$17,MATCH(REFERENTIEL!G86&amp;"_statut",IMP_ENTETES,0)),"")="N","NA",IFERROR(INDEX(IMP_DONNEES,$B$17,MATCH(REFERENTIEL!G86&amp;"_num",IMP_ENTETES,0)),""))))</f>
      </c>
      <c r="F101" s="24">
        <f ca="1">IF($B$17=0,"",IF($C101&lt;&gt;"Taux","",IFERROR(INDEX(IMP_DONNEES,$B$17,MATCH(REFERENTIEL!G86&amp;"_den",IMP_ENTETES,0)),"")))</f>
      </c>
      <c r="G101" s="111"/>
      <c r="H101" s="111"/>
      <c r="I101" s="28">
        <f t="shared" ca="1" si="3"/>
      </c>
      <c r="J101" s="28" t="str">
        <f t="shared" si="4"/>
        <v/>
      </c>
      <c r="K101" s="23">
        <f t="shared" ca="1" si="5"/>
      </c>
      <c r="L101" s="28">
        <f ca="1">IF($B$17=0,"",IFERROR(INDEX(IMP_DONNEES,$B$17,MATCH(REFERENTIEL!G86&amp;"_obs",IMP_ENTETES,0)),""))</f>
      </c>
    </row>
    <row r="102" spans="1:12" ht="15.75" x14ac:dyDescent="0.25">
      <c r="A102" s="22" t="str">
        <f>REFERENTIEL!E87</f>
        <v>EN-PRT-1.4</v>
      </c>
      <c r="B102" s="22" t="str">
        <f>REFERENTIEL!F87</f>
        <v>Présence d'un contenant destiné aux terres et matériaux souillés récupérés</v>
      </c>
      <c r="C102" s="22" t="str">
        <f>REFERENTIEL!H87</f>
        <v>Binaire</v>
      </c>
      <c r="D102" s="22" t="str">
        <f>REFERENTIEL!I87</f>
        <v>NON</v>
      </c>
      <c r="E102" s="24">
        <f ca="1">IF($B$17=0,"",IF($C102&lt;&gt;"Taux",IFERROR(INDEX(IMP_DONNEES,$B$17,MATCH(REFERENTIEL!G87,IMP_ENTETES,0)),""),IF(IFERROR(INDEX(IMP_DONNEES,$B$17,MATCH(REFERENTIEL!G87&amp;"_statut",IMP_ENTETES,0)),"")="N","NA",IFERROR(INDEX(IMP_DONNEES,$B$17,MATCH(REFERENTIEL!G87&amp;"_num",IMP_ENTETES,0)),""))))</f>
      </c>
      <c r="F102" s="24">
        <f ca="1">IF($B$17=0,"",IF($C102&lt;&gt;"Taux","",IFERROR(INDEX(IMP_DONNEES,$B$17,MATCH(REFERENTIEL!G87&amp;"_den",IMP_ENTETES,0)),"")))</f>
      </c>
      <c r="G102" s="111"/>
      <c r="H102" s="111"/>
      <c r="I102" s="28">
        <f t="shared" ca="1" si="3"/>
      </c>
      <c r="J102" s="28" t="str">
        <f t="shared" si="4"/>
        <v/>
      </c>
      <c r="K102" s="23">
        <f t="shared" ca="1" si="5"/>
      </c>
      <c r="L102" s="28">
        <f ca="1">IF($B$17=0,"",IFERROR(INDEX(IMP_DONNEES,$B$17,MATCH(REFERENTIEL!G87&amp;"_obs",IMP_ENTETES,0)),""))</f>
      </c>
    </row>
    <row r="103" spans="1:12" ht="15.75" x14ac:dyDescent="0.25">
      <c r="A103" s="22" t="str">
        <f>REFERENTIEL!E88</f>
        <v>EN-PRT-2.1</v>
      </c>
      <c r="B103" s="22" t="str">
        <f>REFERENTIEL!F88</f>
        <v>Présence d’une fosse ou d’un dispositif de collecte étanche recevant les eaux des sanitaires</v>
      </c>
      <c r="C103" s="22" t="str">
        <f>REFERENTIEL!H88</f>
        <v>Binaire</v>
      </c>
      <c r="D103" s="22" t="str">
        <f>REFERENTIEL!I88</f>
        <v>OUI</v>
      </c>
      <c r="E103" s="24">
        <f ca="1">IF($B$17=0,"",IF($C103&lt;&gt;"Taux",IFERROR(INDEX(IMP_DONNEES,$B$17,MATCH(REFERENTIEL!G88,IMP_ENTETES,0)),""),IF(IFERROR(INDEX(IMP_DONNEES,$B$17,MATCH(REFERENTIEL!G88&amp;"_statut",IMP_ENTETES,0)),"")="N","NA",IFERROR(INDEX(IMP_DONNEES,$B$17,MATCH(REFERENTIEL!G88&amp;"_num",IMP_ENTETES,0)),""))))</f>
      </c>
      <c r="F103" s="24">
        <f ca="1">IF($B$17=0,"",IF($C103&lt;&gt;"Taux","",IFERROR(INDEX(IMP_DONNEES,$B$17,MATCH(REFERENTIEL!G88&amp;"_den",IMP_ENTETES,0)),"")))</f>
      </c>
      <c r="G103" s="111"/>
      <c r="H103" s="111"/>
      <c r="I103" s="28">
        <f t="shared" ca="1" si="3"/>
      </c>
      <c r="J103" s="28" t="str">
        <f t="shared" si="4"/>
        <v/>
      </c>
      <c r="K103" s="23">
        <f t="shared" ca="1" si="5"/>
      </c>
      <c r="L103" s="28">
        <f ca="1">IF($B$17=0,"",IFERROR(INDEX(IMP_DONNEES,$B$17,MATCH(REFERENTIEL!G88&amp;"_obs",IMP_ENTETES,0)),""))</f>
      </c>
    </row>
    <row r="104" spans="1:12" ht="15.75" x14ac:dyDescent="0.25">
      <c r="A104" s="22" t="str">
        <f>REFERENTIEL!E89</f>
        <v>EN-PRT-2.2</v>
      </c>
      <c r="B104" s="22" t="str">
        <f>REFERENTIEL!F89</f>
        <v>Absence de rejet d’eaux usées dans les caniveaux d’évacuation des eaux pluviales</v>
      </c>
      <c r="C104" s="22" t="str">
        <f>REFERENTIEL!H89</f>
        <v>Binaire</v>
      </c>
      <c r="D104" s="22" t="str">
        <f>REFERENTIEL!I89</f>
        <v>NON</v>
      </c>
      <c r="E104" s="24">
        <f ca="1">IF($B$17=0,"",IF($C104&lt;&gt;"Taux",IFERROR(INDEX(IMP_DONNEES,$B$17,MATCH(REFERENTIEL!G89,IMP_ENTETES,0)),""),IF(IFERROR(INDEX(IMP_DONNEES,$B$17,MATCH(REFERENTIEL!G89&amp;"_statut",IMP_ENTETES,0)),"")="N","NA",IFERROR(INDEX(IMP_DONNEES,$B$17,MATCH(REFERENTIEL!G89&amp;"_num",IMP_ENTETES,0)),""))))</f>
      </c>
      <c r="F104" s="24">
        <f ca="1">IF($B$17=0,"",IF($C104&lt;&gt;"Taux","",IFERROR(INDEX(IMP_DONNEES,$B$17,MATCH(REFERENTIEL!G89&amp;"_den",IMP_ENTETES,0)),"")))</f>
      </c>
      <c r="G104" s="111"/>
      <c r="H104" s="111"/>
      <c r="I104" s="28">
        <f t="shared" ca="1" si="3"/>
      </c>
      <c r="J104" s="28" t="str">
        <f t="shared" si="4"/>
        <v/>
      </c>
      <c r="K104" s="23">
        <f t="shared" ca="1" si="5"/>
      </c>
      <c r="L104" s="28">
        <f ca="1">IF($B$17=0,"",IFERROR(INDEX(IMP_DONNEES,$B$17,MATCH(REFERENTIEL!G89&amp;"_obs",IMP_ENTETES,0)),""))</f>
      </c>
    </row>
    <row r="105" spans="1:12" ht="15.75" x14ac:dyDescent="0.25">
      <c r="A105" s="22" t="str">
        <f>REFERENTIEL!E90</f>
        <v>EN-PRT-2.3</v>
      </c>
      <c r="B105" s="22" t="str">
        <f>REFERENTIEL!F90</f>
        <v>Absence de rejet d’effluents dans un puits ou un puisard</v>
      </c>
      <c r="C105" s="22" t="str">
        <f>REFERENTIEL!H90</f>
        <v>Binaire</v>
      </c>
      <c r="D105" s="22" t="str">
        <f>REFERENTIEL!I90</f>
        <v>NON</v>
      </c>
      <c r="E105" s="24">
        <f ca="1">IF($B$17=0,"",IF($C105&lt;&gt;"Taux",IFERROR(INDEX(IMP_DONNEES,$B$17,MATCH(REFERENTIEL!G90,IMP_ENTETES,0)),""),IF(IFERROR(INDEX(IMP_DONNEES,$B$17,MATCH(REFERENTIEL!G90&amp;"_statut",IMP_ENTETES,0)),"")="N","NA",IFERROR(INDEX(IMP_DONNEES,$B$17,MATCH(REFERENTIEL!G90&amp;"_num",IMP_ENTETES,0)),""))))</f>
      </c>
      <c r="F105" s="24">
        <f ca="1">IF($B$17=0,"",IF($C105&lt;&gt;"Taux","",IFERROR(INDEX(IMP_DONNEES,$B$17,MATCH(REFERENTIEL!G90&amp;"_den",IMP_ENTETES,0)),"")))</f>
      </c>
      <c r="G105" s="111"/>
      <c r="H105" s="111"/>
      <c r="I105" s="28">
        <f t="shared" ca="1" si="3"/>
      </c>
      <c r="J105" s="28" t="str">
        <f t="shared" si="4"/>
        <v/>
      </c>
      <c r="K105" s="23">
        <f t="shared" ca="1" si="5"/>
      </c>
      <c r="L105" s="28">
        <f ca="1">IF($B$17=0,"",IFERROR(INDEX(IMP_DONNEES,$B$17,MATCH(REFERENTIEL!G90&amp;"_obs",IMP_ENTETES,0)),""))</f>
      </c>
    </row>
    <row r="106" spans="1:12" ht="15.75" x14ac:dyDescent="0.25">
      <c r="A106" s="22" t="str">
        <f>REFERENTIEL!E91</f>
        <v>EN-PRT-2.4</v>
      </c>
      <c r="B106" s="22" t="str">
        <f>REFERENTIEL!F91</f>
        <v>Absence de rejet d’eaux de lavage à même le sol</v>
      </c>
      <c r="C106" s="22" t="str">
        <f>REFERENTIEL!H91</f>
        <v>Binaire</v>
      </c>
      <c r="D106" s="22" t="str">
        <f>REFERENTIEL!I91</f>
        <v>OUI</v>
      </c>
      <c r="E106" s="24">
        <f ca="1">IF($B$17=0,"",IF($C106&lt;&gt;"Taux",IFERROR(INDEX(IMP_DONNEES,$B$17,MATCH(REFERENTIEL!G91,IMP_ENTETES,0)),""),IF(IFERROR(INDEX(IMP_DONNEES,$B$17,MATCH(REFERENTIEL!G91&amp;"_statut",IMP_ENTETES,0)),"")="N","NA",IFERROR(INDEX(IMP_DONNEES,$B$17,MATCH(REFERENTIEL!G91&amp;"_num",IMP_ENTETES,0)),""))))</f>
      </c>
      <c r="F106" s="24">
        <f ca="1">IF($B$17=0,"",IF($C106&lt;&gt;"Taux","",IFERROR(INDEX(IMP_DONNEES,$B$17,MATCH(REFERENTIEL!G91&amp;"_den",IMP_ENTETES,0)),"")))</f>
      </c>
      <c r="G106" s="111"/>
      <c r="H106" s="111"/>
      <c r="I106" s="28">
        <f t="shared" ca="1" si="3"/>
      </c>
      <c r="J106" s="28" t="str">
        <f t="shared" si="4"/>
        <v/>
      </c>
      <c r="K106" s="23">
        <f t="shared" ca="1" si="5"/>
      </c>
      <c r="L106" s="28">
        <f ca="1">IF($B$17=0,"",IFERROR(INDEX(IMP_DONNEES,$B$17,MATCH(REFERENTIEL!G91&amp;"_obs",IMP_ENTETES,0)),""))</f>
      </c>
    </row>
    <row r="107" spans="1:12" ht="15.75" x14ac:dyDescent="0.25">
      <c r="A107" s="22" t="str">
        <f>REFERENTIEL!E92</f>
        <v>EN-CNF-1.1</v>
      </c>
      <c r="B107" s="22" t="str">
        <f>REFERENTIEL!F92</f>
        <v>Présence du certificat de conformité environnementale et sociale délivré pour le projet et en cours de validité</v>
      </c>
      <c r="C107" s="22" t="str">
        <f>REFERENTIEL!H92</f>
        <v>Binaire</v>
      </c>
      <c r="D107" s="22" t="str">
        <f>REFERENTIEL!I92</f>
        <v>NON</v>
      </c>
      <c r="E107" s="24">
        <f ca="1">IF($B$17=0,"",IF($C107&lt;&gt;"Taux",IFERROR(INDEX(IMP_DONNEES,$B$17,MATCH(REFERENTIEL!G92,IMP_ENTETES,0)),""),IF(IFERROR(INDEX(IMP_DONNEES,$B$17,MATCH(REFERENTIEL!G92&amp;"_statut",IMP_ENTETES,0)),"")="N","NA",IFERROR(INDEX(IMP_DONNEES,$B$17,MATCH(REFERENTIEL!G92&amp;"_num",IMP_ENTETES,0)),""))))</f>
      </c>
      <c r="F107" s="24">
        <f ca="1">IF($B$17=0,"",IF($C107&lt;&gt;"Taux","",IFERROR(INDEX(IMP_DONNEES,$B$17,MATCH(REFERENTIEL!G92&amp;"_den",IMP_ENTETES,0)),"")))</f>
      </c>
      <c r="G107" s="111"/>
      <c r="H107" s="111"/>
      <c r="I107" s="28">
        <f t="shared" ca="1" si="3"/>
      </c>
      <c r="J107" s="28" t="str">
        <f t="shared" si="4"/>
        <v/>
      </c>
      <c r="K107" s="23">
        <f t="shared" ca="1" si="5"/>
      </c>
      <c r="L107" s="28">
        <f ca="1">IF($B$17=0,"",IFERROR(INDEX(IMP_DONNEES,$B$17,MATCH(REFERENTIEL!G92&amp;"_obs",IMP_ENTETES,0)),""))</f>
      </c>
    </row>
    <row r="108" spans="1:12" ht="15.75" x14ac:dyDescent="0.25">
      <c r="A108" s="22" t="str">
        <f>REFERENTIEL!E93</f>
        <v>EN-CNF-1.2</v>
      </c>
      <c r="B108" s="22" t="str">
        <f>REFERENTIEL!F93</f>
        <v>Niveau de mise en œuvre des recommandations issues du certificat de conformité</v>
      </c>
      <c r="C108" s="22" t="str">
        <f>REFERENTIEL!H93</f>
        <v>Maturité</v>
      </c>
      <c r="D108" s="22" t="str">
        <f>REFERENTIEL!I93</f>
        <v>OUI</v>
      </c>
      <c r="E108" s="24">
        <f ca="1">IF($B$17=0,"",IF($C108&lt;&gt;"Taux",IFERROR(INDEX(IMP_DONNEES,$B$17,MATCH(REFERENTIEL!G93,IMP_ENTETES,0)),""),IF(IFERROR(INDEX(IMP_DONNEES,$B$17,MATCH(REFERENTIEL!G93&amp;"_statut",IMP_ENTETES,0)),"")="N","NA",IFERROR(INDEX(IMP_DONNEES,$B$17,MATCH(REFERENTIEL!G93&amp;"_num",IMP_ENTETES,0)),""))))</f>
      </c>
      <c r="F108" s="24">
        <f ca="1">IF($B$17=0,"",IF($C108&lt;&gt;"Taux","",IFERROR(INDEX(IMP_DONNEES,$B$17,MATCH(REFERENTIEL!G93&amp;"_den",IMP_ENTETES,0)),"")))</f>
      </c>
      <c r="G108" s="111"/>
      <c r="H108" s="111"/>
      <c r="I108" s="28">
        <f t="shared" ca="1" si="3"/>
      </c>
      <c r="J108" s="28" t="str">
        <f t="shared" si="4"/>
        <v/>
      </c>
      <c r="K108" s="23">
        <f t="shared" ca="1" si="5"/>
      </c>
      <c r="L108" s="28">
        <f ca="1">IF($B$17=0,"",IFERROR(INDEX(IMP_DONNEES,$B$17,MATCH(REFERENTIEL!G93&amp;"_obs",IMP_ENTETES,0)),""))</f>
      </c>
    </row>
    <row r="109" spans="1:12" ht="15.75" x14ac:dyDescent="0.25">
      <c r="A109" s="22" t="str">
        <f>REFERENTIEL!E94</f>
        <v>EN-CNF-1.3</v>
      </c>
      <c r="B109" s="22" t="str">
        <f>REFERENTIEL!F94</f>
        <v>Présence des prescriptions assorties au certificat, disponibles sur le chantier</v>
      </c>
      <c r="C109" s="22" t="str">
        <f>REFERENTIEL!H94</f>
        <v>Binaire</v>
      </c>
      <c r="D109" s="22" t="str">
        <f>REFERENTIEL!I94</f>
        <v>OUI</v>
      </c>
      <c r="E109" s="24">
        <f ca="1">IF($B$17=0,"",IF($C109&lt;&gt;"Taux",IFERROR(INDEX(IMP_DONNEES,$B$17,MATCH(REFERENTIEL!G94,IMP_ENTETES,0)),""),IF(IFERROR(INDEX(IMP_DONNEES,$B$17,MATCH(REFERENTIEL!G94&amp;"_statut",IMP_ENTETES,0)),"")="N","NA",IFERROR(INDEX(IMP_DONNEES,$B$17,MATCH(REFERENTIEL!G94&amp;"_num",IMP_ENTETES,0)),""))))</f>
      </c>
      <c r="F109" s="24">
        <f ca="1">IF($B$17=0,"",IF($C109&lt;&gt;"Taux","",IFERROR(INDEX(IMP_DONNEES,$B$17,MATCH(REFERENTIEL!G94&amp;"_den",IMP_ENTETES,0)),"")))</f>
      </c>
      <c r="G109" s="111"/>
      <c r="H109" s="111"/>
      <c r="I109" s="28">
        <f t="shared" ca="1" si="3"/>
      </c>
      <c r="J109" s="28" t="str">
        <f t="shared" si="4"/>
        <v/>
      </c>
      <c r="K109" s="23">
        <f t="shared" ca="1" si="5"/>
      </c>
      <c r="L109" s="28">
        <f ca="1">IF($B$17=0,"",IFERROR(INDEX(IMP_DONNEES,$B$17,MATCH(REFERENTIEL!G94&amp;"_obs",IMP_ENTETES,0)),""))</f>
      </c>
    </row>
    <row r="110" spans="1:12" ht="15.75" x14ac:dyDescent="0.25">
      <c r="A110" s="22" t="str">
        <f>REFERENTIEL!E95</f>
        <v>EN-CNF-1.4</v>
      </c>
      <c r="B110" s="22" t="str">
        <f>REFERENTIEL!F95</f>
        <v>Présence d'une trace de visite ou d’inspection environnementale exercée sur le chantier</v>
      </c>
      <c r="C110" s="22" t="str">
        <f>REFERENTIEL!H95</f>
        <v>Binaire</v>
      </c>
      <c r="D110" s="22" t="str">
        <f>REFERENTIEL!I95</f>
        <v>NON</v>
      </c>
      <c r="E110" s="24">
        <f ca="1">IF($B$17=0,"",IF($C110&lt;&gt;"Taux",IFERROR(INDEX(IMP_DONNEES,$B$17,MATCH(REFERENTIEL!G95,IMP_ENTETES,0)),""),IF(IFERROR(INDEX(IMP_DONNEES,$B$17,MATCH(REFERENTIEL!G95&amp;"_statut",IMP_ENTETES,0)),"")="N","NA",IFERROR(INDEX(IMP_DONNEES,$B$17,MATCH(REFERENTIEL!G95&amp;"_num",IMP_ENTETES,0)),""))))</f>
      </c>
      <c r="F110" s="24">
        <f ca="1">IF($B$17=0,"",IF($C110&lt;&gt;"Taux","",IFERROR(INDEX(IMP_DONNEES,$B$17,MATCH(REFERENTIEL!G95&amp;"_den",IMP_ENTETES,0)),"")))</f>
      </c>
      <c r="G110" s="111"/>
      <c r="H110" s="111"/>
      <c r="I110" s="28">
        <f t="shared" ca="1" si="3"/>
      </c>
      <c r="J110" s="28" t="str">
        <f t="shared" si="4"/>
        <v/>
      </c>
      <c r="K110" s="23">
        <f t="shared" ca="1" si="5"/>
      </c>
      <c r="L110" s="28">
        <f ca="1">IF($B$17=0,"",IFERROR(INDEX(IMP_DONNEES,$B$17,MATCH(REFERENTIEL!G95&amp;"_obs",IMP_ENTETES,0)),""))</f>
      </c>
    </row>
    <row r="111" spans="1:12" ht="15.75" x14ac:dyDescent="0.25">
      <c r="A111" s="22" t="str">
        <f>REFERENTIEL!E96</f>
        <v>EN-CNF-2.1</v>
      </c>
      <c r="B111" s="22" t="str">
        <f>REFERENTIEL!F96</f>
        <v>Présence du plan de gestion environnementale et sociale décliné au chantier</v>
      </c>
      <c r="C111" s="22" t="str">
        <f>REFERENTIEL!H96</f>
        <v>Binaire</v>
      </c>
      <c r="D111" s="22" t="str">
        <f>REFERENTIEL!I96</f>
        <v>NON</v>
      </c>
      <c r="E111" s="24">
        <f ca="1">IF($B$17=0,"",IF($C111&lt;&gt;"Taux",IFERROR(INDEX(IMP_DONNEES,$B$17,MATCH(REFERENTIEL!G96,IMP_ENTETES,0)),""),IF(IFERROR(INDEX(IMP_DONNEES,$B$17,MATCH(REFERENTIEL!G96&amp;"_statut",IMP_ENTETES,0)),"")="N","NA",IFERROR(INDEX(IMP_DONNEES,$B$17,MATCH(REFERENTIEL!G96&amp;"_num",IMP_ENTETES,0)),""))))</f>
      </c>
      <c r="F111" s="24">
        <f ca="1">IF($B$17=0,"",IF($C111&lt;&gt;"Taux","",IFERROR(INDEX(IMP_DONNEES,$B$17,MATCH(REFERENTIEL!G96&amp;"_den",IMP_ENTETES,0)),"")))</f>
      </c>
      <c r="G111" s="111"/>
      <c r="H111" s="111"/>
      <c r="I111" s="28">
        <f t="shared" ca="1" si="3"/>
      </c>
      <c r="J111" s="28" t="str">
        <f t="shared" si="4"/>
        <v/>
      </c>
      <c r="K111" s="23">
        <f t="shared" ca="1" si="5"/>
      </c>
      <c r="L111" s="28">
        <f ca="1">IF($B$17=0,"",IFERROR(INDEX(IMP_DONNEES,$B$17,MATCH(REFERENTIEL!G96&amp;"_obs",IMP_ENTETES,0)),""))</f>
      </c>
    </row>
    <row r="112" spans="1:12" ht="15.75" x14ac:dyDescent="0.25">
      <c r="A112" s="22" t="str">
        <f>REFERENTIEL!E97</f>
        <v>EN-CNF-2.2</v>
      </c>
      <c r="B112" s="22" t="str">
        <f>REFERENTIEL!F97</f>
        <v>Présence d'un responsable environnement désigné pour sa mise en œuvre</v>
      </c>
      <c r="C112" s="22" t="str">
        <f>REFERENTIEL!H97</f>
        <v>Binaire</v>
      </c>
      <c r="D112" s="22" t="str">
        <f>REFERENTIEL!I97</f>
        <v>NON</v>
      </c>
      <c r="E112" s="24">
        <f ca="1">IF($B$17=0,"",IF($C112&lt;&gt;"Taux",IFERROR(INDEX(IMP_DONNEES,$B$17,MATCH(REFERENTIEL!G97,IMP_ENTETES,0)),""),IF(IFERROR(INDEX(IMP_DONNEES,$B$17,MATCH(REFERENTIEL!G97&amp;"_statut",IMP_ENTETES,0)),"")="N","NA",IFERROR(INDEX(IMP_DONNEES,$B$17,MATCH(REFERENTIEL!G97&amp;"_num",IMP_ENTETES,0)),""))))</f>
      </c>
      <c r="F112" s="24">
        <f ca="1">IF($B$17=0,"",IF($C112&lt;&gt;"Taux","",IFERROR(INDEX(IMP_DONNEES,$B$17,MATCH(REFERENTIEL!G97&amp;"_den",IMP_ENTETES,0)),"")))</f>
      </c>
      <c r="G112" s="111"/>
      <c r="H112" s="111"/>
      <c r="I112" s="28">
        <f t="shared" ca="1" si="3"/>
      </c>
      <c r="J112" s="28" t="str">
        <f t="shared" si="4"/>
        <v/>
      </c>
      <c r="K112" s="23">
        <f t="shared" ca="1" si="5"/>
      </c>
      <c r="L112" s="28">
        <f ca="1">IF($B$17=0,"",IFERROR(INDEX(IMP_DONNEES,$B$17,MATCH(REFERENTIEL!G97&amp;"_obs",IMP_ENTETES,0)),""))</f>
      </c>
    </row>
    <row r="113" spans="1:12" ht="15.75" x14ac:dyDescent="0.25">
      <c r="A113" s="22" t="str">
        <f>REFERENTIEL!E98</f>
        <v>EN-CNF-2.3</v>
      </c>
      <c r="B113" s="22" t="str">
        <f>REFERENTIEL!F98</f>
        <v>Présence des rapports périodiques de suivi environnemental portant une trace de transmission</v>
      </c>
      <c r="C113" s="22" t="str">
        <f>REFERENTIEL!H98</f>
        <v>Binaire</v>
      </c>
      <c r="D113" s="22" t="str">
        <f>REFERENTIEL!I98</f>
        <v>NON</v>
      </c>
      <c r="E113" s="24">
        <f ca="1">IF($B$17=0,"",IF($C113&lt;&gt;"Taux",IFERROR(INDEX(IMP_DONNEES,$B$17,MATCH(REFERENTIEL!G98,IMP_ENTETES,0)),""),IF(IFERROR(INDEX(IMP_DONNEES,$B$17,MATCH(REFERENTIEL!G98&amp;"_statut",IMP_ENTETES,0)),"")="N","NA",IFERROR(INDEX(IMP_DONNEES,$B$17,MATCH(REFERENTIEL!G98&amp;"_num",IMP_ENTETES,0)),""))))</f>
      </c>
      <c r="F113" s="24">
        <f ca="1">IF($B$17=0,"",IF($C113&lt;&gt;"Taux","",IFERROR(INDEX(IMP_DONNEES,$B$17,MATCH(REFERENTIEL!G98&amp;"_den",IMP_ENTETES,0)),"")))</f>
      </c>
      <c r="G113" s="111"/>
      <c r="H113" s="111"/>
      <c r="I113" s="28">
        <f t="shared" ca="1" si="3"/>
      </c>
      <c r="J113" s="28" t="str">
        <f t="shared" si="4"/>
        <v/>
      </c>
      <c r="K113" s="23">
        <f t="shared" ca="1" si="5"/>
      </c>
      <c r="L113" s="28">
        <f ca="1">IF($B$17=0,"",IFERROR(INDEX(IMP_DONNEES,$B$17,MATCH(REFERENTIEL!G98&amp;"_obs",IMP_ENTETES,0)),""))</f>
      </c>
    </row>
    <row r="114" spans="1:12" ht="15.75" x14ac:dyDescent="0.25">
      <c r="A114" s="22" t="str">
        <f>REFERENTIEL!E99</f>
        <v>EN-CNF-2.4</v>
      </c>
      <c r="B114" s="22" t="str">
        <f>REFERENTIEL!F99</f>
        <v>Présence d'une trace de suite donnée aux non-conformités relevées lors des missions de contrôle</v>
      </c>
      <c r="C114" s="22" t="str">
        <f>REFERENTIEL!H99</f>
        <v>Binaire</v>
      </c>
      <c r="D114" s="22" t="str">
        <f>REFERENTIEL!I99</f>
        <v>OUI</v>
      </c>
      <c r="E114" s="24">
        <f ca="1">IF($B$17=0,"",IF($C114&lt;&gt;"Taux",IFERROR(INDEX(IMP_DONNEES,$B$17,MATCH(REFERENTIEL!G99,IMP_ENTETES,0)),""),IF(IFERROR(INDEX(IMP_DONNEES,$B$17,MATCH(REFERENTIEL!G99&amp;"_statut",IMP_ENTETES,0)),"")="N","NA",IFERROR(INDEX(IMP_DONNEES,$B$17,MATCH(REFERENTIEL!G99&amp;"_num",IMP_ENTETES,0)),""))))</f>
      </c>
      <c r="F114" s="24">
        <f ca="1">IF($B$17=0,"",IF($C114&lt;&gt;"Taux","",IFERROR(INDEX(IMP_DONNEES,$B$17,MATCH(REFERENTIEL!G99&amp;"_den",IMP_ENTETES,0)),"")))</f>
      </c>
      <c r="G114" s="111"/>
      <c r="H114" s="111"/>
      <c r="I114" s="28">
        <f t="shared" ca="1" si="3"/>
      </c>
      <c r="J114" s="28" t="str">
        <f t="shared" si="4"/>
        <v/>
      </c>
      <c r="K114" s="23">
        <f t="shared" ca="1" si="5"/>
      </c>
      <c r="L114" s="28">
        <f ca="1">IF($B$17=0,"",IFERROR(INDEX(IMP_DONNEES,$B$17,MATCH(REFERENTIEL!G99&amp;"_obs",IMP_ENTETES,0)),""))</f>
      </c>
    </row>
    <row r="115" spans="1:12" ht="15.75" x14ac:dyDescent="0.25">
      <c r="A115" s="22" t="str">
        <f>REFERENTIEL!E100</f>
        <v>EN-CNF-3.1</v>
      </c>
      <c r="B115" s="22" t="str">
        <f>REFERENTIEL!F100</f>
        <v>Présence d’une trace de l’inventaire des arbres situés dans l’emprise du projet</v>
      </c>
      <c r="C115" s="22" t="str">
        <f>REFERENTIEL!H100</f>
        <v>Binaire</v>
      </c>
      <c r="D115" s="22" t="str">
        <f>REFERENTIEL!I100</f>
        <v>OUI</v>
      </c>
      <c r="E115" s="24">
        <f ca="1">IF($B$17=0,"",IF($C115&lt;&gt;"Taux",IFERROR(INDEX(IMP_DONNEES,$B$17,MATCH(REFERENTIEL!G100,IMP_ENTETES,0)),""),IF(IFERROR(INDEX(IMP_DONNEES,$B$17,MATCH(REFERENTIEL!G100&amp;"_statut",IMP_ENTETES,0)),"")="N","NA",IFERROR(INDEX(IMP_DONNEES,$B$17,MATCH(REFERENTIEL!G100&amp;"_num",IMP_ENTETES,0)),""))))</f>
      </c>
      <c r="F115" s="24">
        <f ca="1">IF($B$17=0,"",IF($C115&lt;&gt;"Taux","",IFERROR(INDEX(IMP_DONNEES,$B$17,MATCH(REFERENTIEL!G100&amp;"_den",IMP_ENTETES,0)),"")))</f>
      </c>
      <c r="G115" s="111"/>
      <c r="H115" s="111"/>
      <c r="I115" s="28">
        <f t="shared" ca="1" si="3"/>
      </c>
      <c r="J115" s="28" t="str">
        <f t="shared" si="4"/>
        <v/>
      </c>
      <c r="K115" s="23">
        <f t="shared" ca="1" si="5"/>
      </c>
      <c r="L115" s="28">
        <f ca="1">IF($B$17=0,"",IFERROR(INDEX(IMP_DONNEES,$B$17,MATCH(REFERENTIEL!G100&amp;"_obs",IMP_ENTETES,0)),""))</f>
      </c>
    </row>
    <row r="116" spans="1:12" ht="15.75" x14ac:dyDescent="0.25">
      <c r="A116" s="22" t="str">
        <f>REFERENTIEL!E101</f>
        <v>EN-CNF-3.2</v>
      </c>
      <c r="B116" s="22" t="str">
        <f>REFERENTIEL!F101</f>
        <v>Présence de l’autorisation d’abattage délivrée par l’autorité compétente</v>
      </c>
      <c r="C116" s="22" t="str">
        <f>REFERENTIEL!H101</f>
        <v>Binaire</v>
      </c>
      <c r="D116" s="22" t="str">
        <f>REFERENTIEL!I101</f>
        <v>OUI</v>
      </c>
      <c r="E116" s="24">
        <f ca="1">IF($B$17=0,"",IF($C116&lt;&gt;"Taux",IFERROR(INDEX(IMP_DONNEES,$B$17,MATCH(REFERENTIEL!G101,IMP_ENTETES,0)),""),IF(IFERROR(INDEX(IMP_DONNEES,$B$17,MATCH(REFERENTIEL!G101&amp;"_statut",IMP_ENTETES,0)),"")="N","NA",IFERROR(INDEX(IMP_DONNEES,$B$17,MATCH(REFERENTIEL!G101&amp;"_num",IMP_ENTETES,0)),""))))</f>
      </c>
      <c r="F116" s="24">
        <f ca="1">IF($B$17=0,"",IF($C116&lt;&gt;"Taux","",IFERROR(INDEX(IMP_DONNEES,$B$17,MATCH(REFERENTIEL!G101&amp;"_den",IMP_ENTETES,0)),"")))</f>
      </c>
      <c r="G116" s="111"/>
      <c r="H116" s="111"/>
      <c r="I116" s="28">
        <f t="shared" ca="1" si="3"/>
      </c>
      <c r="J116" s="28" t="str">
        <f t="shared" si="4"/>
        <v/>
      </c>
      <c r="K116" s="23">
        <f t="shared" ca="1" si="5"/>
      </c>
      <c r="L116" s="28">
        <f ca="1">IF($B$17=0,"",IFERROR(INDEX(IMP_DONNEES,$B$17,MATCH(REFERENTIEL!G101&amp;"_obs",IMP_ENTETES,0)),""))</f>
      </c>
    </row>
    <row r="117" spans="1:12" ht="15.75" x14ac:dyDescent="0.25">
      <c r="A117" s="22" t="str">
        <f>REFERENTIEL!E102</f>
        <v>EN-CNF-3.3</v>
      </c>
      <c r="B117" s="22" t="str">
        <f>REFERENTIEL!F102</f>
        <v>Présence du plan de compensation ou de reboisement associé</v>
      </c>
      <c r="C117" s="22" t="str">
        <f>REFERENTIEL!H102</f>
        <v>Binaire</v>
      </c>
      <c r="D117" s="22" t="str">
        <f>REFERENTIEL!I102</f>
        <v>OUI</v>
      </c>
      <c r="E117" s="24">
        <f ca="1">IF($B$17=0,"",IF($C117&lt;&gt;"Taux",IFERROR(INDEX(IMP_DONNEES,$B$17,MATCH(REFERENTIEL!G102,IMP_ENTETES,0)),""),IF(IFERROR(INDEX(IMP_DONNEES,$B$17,MATCH(REFERENTIEL!G102&amp;"_statut",IMP_ENTETES,0)),"")="N","NA",IFERROR(INDEX(IMP_DONNEES,$B$17,MATCH(REFERENTIEL!G102&amp;"_num",IMP_ENTETES,0)),""))))</f>
      </c>
      <c r="F117" s="24">
        <f ca="1">IF($B$17=0,"",IF($C117&lt;&gt;"Taux","",IFERROR(INDEX(IMP_DONNEES,$B$17,MATCH(REFERENTIEL!G102&amp;"_den",IMP_ENTETES,0)),"")))</f>
      </c>
      <c r="G117" s="111"/>
      <c r="H117" s="111"/>
      <c r="I117" s="28">
        <f t="shared" ca="1" si="3"/>
      </c>
      <c r="J117" s="28" t="str">
        <f t="shared" si="4"/>
        <v/>
      </c>
      <c r="K117" s="23">
        <f t="shared" ca="1" si="5"/>
      </c>
      <c r="L117" s="28">
        <f ca="1">IF($B$17=0,"",IFERROR(INDEX(IMP_DONNEES,$B$17,MATCH(REFERENTIEL!G102&amp;"_obs",IMP_ENTETES,0)),""))</f>
      </c>
    </row>
    <row r="118" spans="1:12" ht="15.75" x14ac:dyDescent="0.25">
      <c r="A118" s="22" t="str">
        <f>REFERENTIEL!E103</f>
        <v>EN-CNF-3.4</v>
      </c>
      <c r="B118" s="22" t="str">
        <f>REFERENTIEL!F103</f>
        <v>Présence d’une trace d’exécution des plantations compensatoires</v>
      </c>
      <c r="C118" s="22" t="str">
        <f>REFERENTIEL!H103</f>
        <v>Binaire</v>
      </c>
      <c r="D118" s="22" t="str">
        <f>REFERENTIEL!I103</f>
        <v>OUI</v>
      </c>
      <c r="E118" s="24">
        <f ca="1">IF($B$17=0,"",IF($C118&lt;&gt;"Taux",IFERROR(INDEX(IMP_DONNEES,$B$17,MATCH(REFERENTIEL!G103,IMP_ENTETES,0)),""),IF(IFERROR(INDEX(IMP_DONNEES,$B$17,MATCH(REFERENTIEL!G103&amp;"_statut",IMP_ENTETES,0)),"")="N","NA",IFERROR(INDEX(IMP_DONNEES,$B$17,MATCH(REFERENTIEL!G103&amp;"_num",IMP_ENTETES,0)),""))))</f>
      </c>
      <c r="F118" s="24">
        <f ca="1">IF($B$17=0,"",IF($C118&lt;&gt;"Taux","",IFERROR(INDEX(IMP_DONNEES,$B$17,MATCH(REFERENTIEL!G103&amp;"_den",IMP_ENTETES,0)),"")))</f>
      </c>
      <c r="G118" s="111"/>
      <c r="H118" s="111"/>
      <c r="I118" s="28">
        <f t="shared" ca="1" si="3"/>
      </c>
      <c r="J118" s="28" t="str">
        <f t="shared" si="4"/>
        <v/>
      </c>
      <c r="K118" s="23">
        <f t="shared" ca="1" si="5"/>
      </c>
      <c r="L118" s="28">
        <f ca="1">IF($B$17=0,"",IFERROR(INDEX(IMP_DONNEES,$B$17,MATCH(REFERENTIEL!G103&amp;"_obs",IMP_ENTETES,0)),""))</f>
      </c>
    </row>
    <row r="119" spans="1:12" ht="15.75" x14ac:dyDescent="0.25">
      <c r="A119" s="22" t="str">
        <f>REFERENTIEL!E104</f>
        <v>SO-PRV-1.1</v>
      </c>
      <c r="B119" s="22" t="str">
        <f>REFERENTIEL!F104</f>
        <v>Présence d’un panneau de chantier portant l’identité du maître d’ouvrage, de l’entreprise et la durée des travaux</v>
      </c>
      <c r="C119" s="22" t="str">
        <f>REFERENTIEL!H104</f>
        <v>Binaire</v>
      </c>
      <c r="D119" s="22" t="str">
        <f>REFERENTIEL!I104</f>
        <v>NON</v>
      </c>
      <c r="E119" s="24">
        <f ca="1">IF($B$17=0,"",IF($C119&lt;&gt;"Taux",IFERROR(INDEX(IMP_DONNEES,$B$17,MATCH(REFERENTIEL!G104,IMP_ENTETES,0)),""),IF(IFERROR(INDEX(IMP_DONNEES,$B$17,MATCH(REFERENTIEL!G104&amp;"_statut",IMP_ENTETES,0)),"")="N","NA",IFERROR(INDEX(IMP_DONNEES,$B$17,MATCH(REFERENTIEL!G104&amp;"_num",IMP_ENTETES,0)),""))))</f>
      </c>
      <c r="F119" s="24">
        <f ca="1">IF($B$17=0,"",IF($C119&lt;&gt;"Taux","",IFERROR(INDEX(IMP_DONNEES,$B$17,MATCH(REFERENTIEL!G104&amp;"_den",IMP_ENTETES,0)),"")))</f>
      </c>
      <c r="G119" s="111"/>
      <c r="H119" s="111"/>
      <c r="I119" s="28">
        <f t="shared" ca="1" si="3"/>
      </c>
      <c r="J119" s="28" t="str">
        <f t="shared" si="4"/>
        <v/>
      </c>
      <c r="K119" s="23">
        <f t="shared" ca="1" si="5"/>
      </c>
      <c r="L119" s="28">
        <f ca="1">IF($B$17=0,"",IFERROR(INDEX(IMP_DONNEES,$B$17,MATCH(REFERENTIEL!G104&amp;"_obs",IMP_ENTETES,0)),""))</f>
      </c>
    </row>
    <row r="120" spans="1:12" ht="15.75" x14ac:dyDescent="0.25">
      <c r="A120" s="22" t="str">
        <f>REFERENTIEL!E105</f>
        <v>SO-PRV-1.2</v>
      </c>
      <c r="B120" s="22" t="str">
        <f>REFERENTIEL!F105</f>
        <v>Présence d’une trace de réunion ou de séance d’information des populations</v>
      </c>
      <c r="C120" s="22" t="str">
        <f>REFERENTIEL!H105</f>
        <v>Binaire</v>
      </c>
      <c r="D120" s="22" t="str">
        <f>REFERENTIEL!I105</f>
        <v>NON</v>
      </c>
      <c r="E120" s="24">
        <f ca="1">IF($B$17=0,"",IF($C120&lt;&gt;"Taux",IFERROR(INDEX(IMP_DONNEES,$B$17,MATCH(REFERENTIEL!G105,IMP_ENTETES,0)),""),IF(IFERROR(INDEX(IMP_DONNEES,$B$17,MATCH(REFERENTIEL!G105&amp;"_statut",IMP_ENTETES,0)),"")="N","NA",IFERROR(INDEX(IMP_DONNEES,$B$17,MATCH(REFERENTIEL!G105&amp;"_num",IMP_ENTETES,0)),""))))</f>
      </c>
      <c r="F120" s="24">
        <f ca="1">IF($B$17=0,"",IF($C120&lt;&gt;"Taux","",IFERROR(INDEX(IMP_DONNEES,$B$17,MATCH(REFERENTIEL!G105&amp;"_den",IMP_ENTETES,0)),"")))</f>
      </c>
      <c r="G120" s="111"/>
      <c r="H120" s="111"/>
      <c r="I120" s="28">
        <f t="shared" ca="1" si="3"/>
      </c>
      <c r="J120" s="28" t="str">
        <f t="shared" si="4"/>
        <v/>
      </c>
      <c r="K120" s="23">
        <f t="shared" ca="1" si="5"/>
      </c>
      <c r="L120" s="28">
        <f ca="1">IF($B$17=0,"",IFERROR(INDEX(IMP_DONNEES,$B$17,MATCH(REFERENTIEL!G105&amp;"_obs",IMP_ENTETES,0)),""))</f>
      </c>
    </row>
    <row r="121" spans="1:12" ht="15.75" x14ac:dyDescent="0.25">
      <c r="A121" s="22" t="str">
        <f>REFERENTIEL!E106</f>
        <v>SO-PRV-1.3</v>
      </c>
      <c r="B121" s="22" t="str">
        <f>REFERENTIEL!F106</f>
        <v>Présence d’un contact affiché, lisible depuis l’extérieur, pour joindre le chantier</v>
      </c>
      <c r="C121" s="22" t="str">
        <f>REFERENTIEL!H106</f>
        <v>Binaire</v>
      </c>
      <c r="D121" s="22" t="str">
        <f>REFERENTIEL!I106</f>
        <v>NON</v>
      </c>
      <c r="E121" s="24">
        <f ca="1">IF($B$17=0,"",IF($C121&lt;&gt;"Taux",IFERROR(INDEX(IMP_DONNEES,$B$17,MATCH(REFERENTIEL!G106,IMP_ENTETES,0)),""),IF(IFERROR(INDEX(IMP_DONNEES,$B$17,MATCH(REFERENTIEL!G106&amp;"_statut",IMP_ENTETES,0)),"")="N","NA",IFERROR(INDEX(IMP_DONNEES,$B$17,MATCH(REFERENTIEL!G106&amp;"_num",IMP_ENTETES,0)),""))))</f>
      </c>
      <c r="F121" s="24">
        <f ca="1">IF($B$17=0,"",IF($C121&lt;&gt;"Taux","",IFERROR(INDEX(IMP_DONNEES,$B$17,MATCH(REFERENTIEL!G106&amp;"_den",IMP_ENTETES,0)),"")))</f>
      </c>
      <c r="G121" s="111"/>
      <c r="H121" s="111"/>
      <c r="I121" s="28">
        <f t="shared" ca="1" si="3"/>
      </c>
      <c r="J121" s="28" t="str">
        <f t="shared" si="4"/>
        <v/>
      </c>
      <c r="K121" s="23">
        <f t="shared" ca="1" si="5"/>
      </c>
      <c r="L121" s="28">
        <f ca="1">IF($B$17=0,"",IFERROR(INDEX(IMP_DONNEES,$B$17,MATCH(REFERENTIEL!G106&amp;"_obs",IMP_ENTETES,0)),""))</f>
      </c>
    </row>
    <row r="122" spans="1:12" ht="15.75" x14ac:dyDescent="0.25">
      <c r="A122" s="22" t="str">
        <f>REFERENTIEL!E107</f>
        <v>SO-PRV-1.4</v>
      </c>
      <c r="B122" s="22" t="str">
        <f>REFERENTIEL!F107</f>
        <v>Présence d’un affichage de la durée des travaux</v>
      </c>
      <c r="C122" s="22" t="str">
        <f>REFERENTIEL!H107</f>
        <v>Binaire</v>
      </c>
      <c r="D122" s="22" t="str">
        <f>REFERENTIEL!I107</f>
        <v>NON</v>
      </c>
      <c r="E122" s="24">
        <f ca="1">IF($B$17=0,"",IF($C122&lt;&gt;"Taux",IFERROR(INDEX(IMP_DONNEES,$B$17,MATCH(REFERENTIEL!G107,IMP_ENTETES,0)),""),IF(IFERROR(INDEX(IMP_DONNEES,$B$17,MATCH(REFERENTIEL!G107&amp;"_statut",IMP_ENTETES,0)),"")="N","NA",IFERROR(INDEX(IMP_DONNEES,$B$17,MATCH(REFERENTIEL!G107&amp;"_num",IMP_ENTETES,0)),""))))</f>
      </c>
      <c r="F122" s="24">
        <f ca="1">IF($B$17=0,"",IF($C122&lt;&gt;"Taux","",IFERROR(INDEX(IMP_DONNEES,$B$17,MATCH(REFERENTIEL!G107&amp;"_den",IMP_ENTETES,0)),"")))</f>
      </c>
      <c r="G122" s="111"/>
      <c r="H122" s="111"/>
      <c r="I122" s="28">
        <f t="shared" ca="1" si="3"/>
      </c>
      <c r="J122" s="28" t="str">
        <f t="shared" si="4"/>
        <v/>
      </c>
      <c r="K122" s="23">
        <f t="shared" ca="1" si="5"/>
      </c>
      <c r="L122" s="28">
        <f ca="1">IF($B$17=0,"",IFERROR(INDEX(IMP_DONNEES,$B$17,MATCH(REFERENTIEL!G107&amp;"_obs",IMP_ENTETES,0)),""))</f>
      </c>
    </row>
    <row r="123" spans="1:12" ht="15.75" x14ac:dyDescent="0.25">
      <c r="A123" s="22" t="str">
        <f>REFERENTIEL!E108</f>
        <v>SO-PRV-2.1</v>
      </c>
      <c r="B123" s="22" t="str">
        <f>REFERENTIEL!F108</f>
        <v>Présence d’un code de conduite signé par les travailleurs</v>
      </c>
      <c r="C123" s="22" t="str">
        <f>REFERENTIEL!H108</f>
        <v>Binaire</v>
      </c>
      <c r="D123" s="22" t="str">
        <f>REFERENTIEL!I108</f>
        <v>NON</v>
      </c>
      <c r="E123" s="24">
        <f ca="1">IF($B$17=0,"",IF($C123&lt;&gt;"Taux",IFERROR(INDEX(IMP_DONNEES,$B$17,MATCH(REFERENTIEL!G108,IMP_ENTETES,0)),""),IF(IFERROR(INDEX(IMP_DONNEES,$B$17,MATCH(REFERENTIEL!G108&amp;"_statut",IMP_ENTETES,0)),"")="N","NA",IFERROR(INDEX(IMP_DONNEES,$B$17,MATCH(REFERENTIEL!G108&amp;"_num",IMP_ENTETES,0)),""))))</f>
      </c>
      <c r="F123" s="24">
        <f ca="1">IF($B$17=0,"",IF($C123&lt;&gt;"Taux","",IFERROR(INDEX(IMP_DONNEES,$B$17,MATCH(REFERENTIEL!G108&amp;"_den",IMP_ENTETES,0)),"")))</f>
      </c>
      <c r="G123" s="111"/>
      <c r="H123" s="111"/>
      <c r="I123" s="28">
        <f t="shared" ca="1" si="3"/>
      </c>
      <c r="J123" s="28" t="str">
        <f t="shared" si="4"/>
        <v/>
      </c>
      <c r="K123" s="23">
        <f t="shared" ca="1" si="5"/>
      </c>
      <c r="L123" s="28">
        <f ca="1">IF($B$17=0,"",IFERROR(INDEX(IMP_DONNEES,$B$17,MATCH(REFERENTIEL!G108&amp;"_obs",IMP_ENTETES,0)),""))</f>
      </c>
    </row>
    <row r="124" spans="1:12" ht="15.75" x14ac:dyDescent="0.25">
      <c r="A124" s="22" t="str">
        <f>REFERENTIEL!E109</f>
        <v>SO-PRV-2.2</v>
      </c>
      <c r="B124" s="22" t="str">
        <f>REFERENTIEL!F109</f>
        <v>Présence d’une sensibilisation aux violences et au harcèlement attestée par une trace</v>
      </c>
      <c r="C124" s="22" t="str">
        <f>REFERENTIEL!H109</f>
        <v>Binaire</v>
      </c>
      <c r="D124" s="22" t="str">
        <f>REFERENTIEL!I109</f>
        <v>NON</v>
      </c>
      <c r="E124" s="24">
        <f ca="1">IF($B$17=0,"",IF($C124&lt;&gt;"Taux",IFERROR(INDEX(IMP_DONNEES,$B$17,MATCH(REFERENTIEL!G109,IMP_ENTETES,0)),""),IF(IFERROR(INDEX(IMP_DONNEES,$B$17,MATCH(REFERENTIEL!G109&amp;"_statut",IMP_ENTETES,0)),"")="N","NA",IFERROR(INDEX(IMP_DONNEES,$B$17,MATCH(REFERENTIEL!G109&amp;"_num",IMP_ENTETES,0)),""))))</f>
      </c>
      <c r="F124" s="24">
        <f ca="1">IF($B$17=0,"",IF($C124&lt;&gt;"Taux","",IFERROR(INDEX(IMP_DONNEES,$B$17,MATCH(REFERENTIEL!G109&amp;"_den",IMP_ENTETES,0)),"")))</f>
      </c>
      <c r="G124" s="111"/>
      <c r="H124" s="111"/>
      <c r="I124" s="28">
        <f t="shared" ca="1" si="3"/>
      </c>
      <c r="J124" s="28" t="str">
        <f t="shared" si="4"/>
        <v/>
      </c>
      <c r="K124" s="23">
        <f t="shared" ca="1" si="5"/>
      </c>
      <c r="L124" s="28">
        <f ca="1">IF($B$17=0,"",IFERROR(INDEX(IMP_DONNEES,$B$17,MATCH(REFERENTIEL!G109&amp;"_obs",IMP_ENTETES,0)),""))</f>
      </c>
    </row>
    <row r="125" spans="1:12" ht="15.75" x14ac:dyDescent="0.25">
      <c r="A125" s="22" t="str">
        <f>REFERENTIEL!E110</f>
        <v>SO-PRV-2.3</v>
      </c>
      <c r="B125" s="22" t="str">
        <f>REFERENTIEL!F110</f>
        <v>Présence d’un affichage du dispositif de signalement</v>
      </c>
      <c r="C125" s="22" t="str">
        <f>REFERENTIEL!H110</f>
        <v>Binaire</v>
      </c>
      <c r="D125" s="22" t="str">
        <f>REFERENTIEL!I110</f>
        <v>NON</v>
      </c>
      <c r="E125" s="24">
        <f ca="1">IF($B$17=0,"",IF($C125&lt;&gt;"Taux",IFERROR(INDEX(IMP_DONNEES,$B$17,MATCH(REFERENTIEL!G110,IMP_ENTETES,0)),""),IF(IFERROR(INDEX(IMP_DONNEES,$B$17,MATCH(REFERENTIEL!G110&amp;"_statut",IMP_ENTETES,0)),"")="N","NA",IFERROR(INDEX(IMP_DONNEES,$B$17,MATCH(REFERENTIEL!G110&amp;"_num",IMP_ENTETES,0)),""))))</f>
      </c>
      <c r="F125" s="24">
        <f ca="1">IF($B$17=0,"",IF($C125&lt;&gt;"Taux","",IFERROR(INDEX(IMP_DONNEES,$B$17,MATCH(REFERENTIEL!G110&amp;"_den",IMP_ENTETES,0)),"")))</f>
      </c>
      <c r="G125" s="111"/>
      <c r="H125" s="111"/>
      <c r="I125" s="28">
        <f t="shared" ca="1" si="3"/>
      </c>
      <c r="J125" s="28" t="str">
        <f t="shared" si="4"/>
        <v/>
      </c>
      <c r="K125" s="23">
        <f t="shared" ca="1" si="5"/>
      </c>
      <c r="L125" s="28">
        <f ca="1">IF($B$17=0,"",IFERROR(INDEX(IMP_DONNEES,$B$17,MATCH(REFERENTIEL!G110&amp;"_obs",IMP_ENTETES,0)),""))</f>
      </c>
    </row>
    <row r="126" spans="1:12" ht="15.75" x14ac:dyDescent="0.25">
      <c r="A126" s="22" t="str">
        <f>REFERENTIEL!E111</f>
        <v>SO-PRV-2.4</v>
      </c>
      <c r="B126" s="22" t="str">
        <f>REFERENTIEL!F111</f>
        <v>Présence d’un point focal désigné et connu des travailleurs</v>
      </c>
      <c r="C126" s="22" t="str">
        <f>REFERENTIEL!H111</f>
        <v>Binaire</v>
      </c>
      <c r="D126" s="22" t="str">
        <f>REFERENTIEL!I111</f>
        <v>NON</v>
      </c>
      <c r="E126" s="24">
        <f ca="1">IF($B$17=0,"",IF($C126&lt;&gt;"Taux",IFERROR(INDEX(IMP_DONNEES,$B$17,MATCH(REFERENTIEL!G111,IMP_ENTETES,0)),""),IF(IFERROR(INDEX(IMP_DONNEES,$B$17,MATCH(REFERENTIEL!G111&amp;"_statut",IMP_ENTETES,0)),"")="N","NA",IFERROR(INDEX(IMP_DONNEES,$B$17,MATCH(REFERENTIEL!G111&amp;"_num",IMP_ENTETES,0)),""))))</f>
      </c>
      <c r="F126" s="24">
        <f ca="1">IF($B$17=0,"",IF($C126&lt;&gt;"Taux","",IFERROR(INDEX(IMP_DONNEES,$B$17,MATCH(REFERENTIEL!G111&amp;"_den",IMP_ENTETES,0)),"")))</f>
      </c>
      <c r="G126" s="111"/>
      <c r="H126" s="111"/>
      <c r="I126" s="28">
        <f t="shared" ca="1" si="3"/>
      </c>
      <c r="J126" s="28" t="str">
        <f t="shared" si="4"/>
        <v/>
      </c>
      <c r="K126" s="23">
        <f t="shared" ca="1" si="5"/>
      </c>
      <c r="L126" s="28">
        <f ca="1">IF($B$17=0,"",IFERROR(INDEX(IMP_DONNEES,$B$17,MATCH(REFERENTIEL!G111&amp;"_obs",IMP_ENTETES,0)),""))</f>
      </c>
    </row>
    <row r="127" spans="1:12" ht="15.75" x14ac:dyDescent="0.25">
      <c r="A127" s="22" t="str">
        <f>REFERENTIEL!E112</f>
        <v>SO-PRT-1.1</v>
      </c>
      <c r="B127" s="22" t="str">
        <f>REFERENTIEL!F112</f>
        <v>Présence d'une clôture ou palissade continue sur les côtés donnant sur la voie publique</v>
      </c>
      <c r="C127" s="22" t="str">
        <f>REFERENTIEL!H112</f>
        <v>Binaire</v>
      </c>
      <c r="D127" s="22" t="str">
        <f>REFERENTIEL!I112</f>
        <v>NON</v>
      </c>
      <c r="E127" s="24">
        <f ca="1">IF($B$17=0,"",IF($C127&lt;&gt;"Taux",IFERROR(INDEX(IMP_DONNEES,$B$17,MATCH(REFERENTIEL!G112,IMP_ENTETES,0)),""),IF(IFERROR(INDEX(IMP_DONNEES,$B$17,MATCH(REFERENTIEL!G112&amp;"_statut",IMP_ENTETES,0)),"")="N","NA",IFERROR(INDEX(IMP_DONNEES,$B$17,MATCH(REFERENTIEL!G112&amp;"_num",IMP_ENTETES,0)),""))))</f>
      </c>
      <c r="F127" s="24">
        <f ca="1">IF($B$17=0,"",IF($C127&lt;&gt;"Taux","",IFERROR(INDEX(IMP_DONNEES,$B$17,MATCH(REFERENTIEL!G112&amp;"_den",IMP_ENTETES,0)),"")))</f>
      </c>
      <c r="G127" s="111"/>
      <c r="H127" s="111"/>
      <c r="I127" s="28">
        <f t="shared" ca="1" si="3"/>
      </c>
      <c r="J127" s="28" t="str">
        <f t="shared" si="4"/>
        <v/>
      </c>
      <c r="K127" s="23">
        <f t="shared" ca="1" si="5"/>
      </c>
      <c r="L127" s="28">
        <f ca="1">IF($B$17=0,"",IFERROR(INDEX(IMP_DONNEES,$B$17,MATCH(REFERENTIEL!G112&amp;"_obs",IMP_ENTETES,0)),""))</f>
      </c>
    </row>
    <row r="128" spans="1:12" ht="15.75" x14ac:dyDescent="0.25">
      <c r="A128" s="22" t="str">
        <f>REFERENTIEL!E113</f>
        <v>SO-PRT-1.2</v>
      </c>
      <c r="B128" s="22" t="str">
        <f>REFERENTIEL!F113</f>
        <v>Présence d'un cheminement piéton séparé de l'emprise et de la circulation des engins</v>
      </c>
      <c r="C128" s="22" t="str">
        <f>REFERENTIEL!H113</f>
        <v>Binaire</v>
      </c>
      <c r="D128" s="22" t="str">
        <f>REFERENTIEL!I113</f>
        <v>OUI</v>
      </c>
      <c r="E128" s="24">
        <f ca="1">IF($B$17=0,"",IF($C128&lt;&gt;"Taux",IFERROR(INDEX(IMP_DONNEES,$B$17,MATCH(REFERENTIEL!G113,IMP_ENTETES,0)),""),IF(IFERROR(INDEX(IMP_DONNEES,$B$17,MATCH(REFERENTIEL!G113&amp;"_statut",IMP_ENTETES,0)),"")="N","NA",IFERROR(INDEX(IMP_DONNEES,$B$17,MATCH(REFERENTIEL!G113&amp;"_num",IMP_ENTETES,0)),""))))</f>
      </c>
      <c r="F128" s="24">
        <f ca="1">IF($B$17=0,"",IF($C128&lt;&gt;"Taux","",IFERROR(INDEX(IMP_DONNEES,$B$17,MATCH(REFERENTIEL!G113&amp;"_den",IMP_ENTETES,0)),"")))</f>
      </c>
      <c r="G128" s="111"/>
      <c r="H128" s="111"/>
      <c r="I128" s="28">
        <f t="shared" ca="1" si="3"/>
      </c>
      <c r="J128" s="28" t="str">
        <f t="shared" si="4"/>
        <v/>
      </c>
      <c r="K128" s="23">
        <f t="shared" ca="1" si="5"/>
      </c>
      <c r="L128" s="28">
        <f ca="1">IF($B$17=0,"",IFERROR(INDEX(IMP_DONNEES,$B$17,MATCH(REFERENTIEL!G113&amp;"_obs",IMP_ENTETES,0)),""))</f>
      </c>
    </row>
    <row r="129" spans="1:12" ht="15.75" x14ac:dyDescent="0.25">
      <c r="A129" s="22" t="str">
        <f>REFERENTIEL!E114</f>
        <v>SO-PRT-1.3</v>
      </c>
      <c r="B129" s="22" t="str">
        <f>REFERENTIEL!F114</f>
        <v>Présence d'un ouvrage de franchissement là où l'emprise coupe un accès riverain</v>
      </c>
      <c r="C129" s="22" t="str">
        <f>REFERENTIEL!H114</f>
        <v>Binaire</v>
      </c>
      <c r="D129" s="22" t="str">
        <f>REFERENTIEL!I114</f>
        <v>OUI</v>
      </c>
      <c r="E129" s="24">
        <f ca="1">IF($B$17=0,"",IF($C129&lt;&gt;"Taux",IFERROR(INDEX(IMP_DONNEES,$B$17,MATCH(REFERENTIEL!G114,IMP_ENTETES,0)),""),IF(IFERROR(INDEX(IMP_DONNEES,$B$17,MATCH(REFERENTIEL!G114&amp;"_statut",IMP_ENTETES,0)),"")="N","NA",IFERROR(INDEX(IMP_DONNEES,$B$17,MATCH(REFERENTIEL!G114&amp;"_num",IMP_ENTETES,0)),""))))</f>
      </c>
      <c r="F129" s="24">
        <f ca="1">IF($B$17=0,"",IF($C129&lt;&gt;"Taux","",IFERROR(INDEX(IMP_DONNEES,$B$17,MATCH(REFERENTIEL!G114&amp;"_den",IMP_ENTETES,0)),"")))</f>
      </c>
      <c r="G129" s="111"/>
      <c r="H129" s="111"/>
      <c r="I129" s="28">
        <f t="shared" ca="1" si="3"/>
      </c>
      <c r="J129" s="28" t="str">
        <f t="shared" si="4"/>
        <v/>
      </c>
      <c r="K129" s="23">
        <f t="shared" ca="1" si="5"/>
      </c>
      <c r="L129" s="28">
        <f ca="1">IF($B$17=0,"",IFERROR(INDEX(IMP_DONNEES,$B$17,MATCH(REFERENTIEL!G114&amp;"_obs",IMP_ENTETES,0)),""))</f>
      </c>
    </row>
    <row r="130" spans="1:12" ht="15.75" x14ac:dyDescent="0.25">
      <c r="A130" s="22" t="str">
        <f>REFERENTIEL!E115</f>
        <v>SO-PRT-1.4</v>
      </c>
      <c r="B130" s="22" t="str">
        <f>REFERENTIEL!F115</f>
        <v>Absence de matériaux ou de déblais empiétant sur la voie publique</v>
      </c>
      <c r="C130" s="22" t="str">
        <f>REFERENTIEL!H115</f>
        <v>Binaire</v>
      </c>
      <c r="D130" s="22" t="str">
        <f>REFERENTIEL!I115</f>
        <v>NON</v>
      </c>
      <c r="E130" s="24">
        <f ca="1">IF($B$17=0,"",IF($C130&lt;&gt;"Taux",IFERROR(INDEX(IMP_DONNEES,$B$17,MATCH(REFERENTIEL!G115,IMP_ENTETES,0)),""),IF(IFERROR(INDEX(IMP_DONNEES,$B$17,MATCH(REFERENTIEL!G115&amp;"_statut",IMP_ENTETES,0)),"")="N","NA",IFERROR(INDEX(IMP_DONNEES,$B$17,MATCH(REFERENTIEL!G115&amp;"_num",IMP_ENTETES,0)),""))))</f>
      </c>
      <c r="F130" s="24">
        <f ca="1">IF($B$17=0,"",IF($C130&lt;&gt;"Taux","",IFERROR(INDEX(IMP_DONNEES,$B$17,MATCH(REFERENTIEL!G115&amp;"_den",IMP_ENTETES,0)),"")))</f>
      </c>
      <c r="G130" s="111"/>
      <c r="H130" s="111"/>
      <c r="I130" s="28">
        <f t="shared" ca="1" si="3"/>
      </c>
      <c r="J130" s="28" t="str">
        <f t="shared" si="4"/>
        <v/>
      </c>
      <c r="K130" s="23">
        <f t="shared" ca="1" si="5"/>
      </c>
      <c r="L130" s="28">
        <f ca="1">IF($B$17=0,"",IFERROR(INDEX(IMP_DONNEES,$B$17,MATCH(REFERENTIEL!G115&amp;"_obs",IMP_ENTETES,0)),""))</f>
      </c>
    </row>
    <row r="131" spans="1:12" ht="15.75" x14ac:dyDescent="0.25">
      <c r="A131" s="22" t="str">
        <f>REFERENTIEL!E116</f>
        <v>SO-PRT-2.1</v>
      </c>
      <c r="B131" s="22" t="str">
        <f>REFERENTIEL!F116</f>
        <v>Présence d’un interlocuteur désigné pour recevoir les plaintes, connu des travailleurs</v>
      </c>
      <c r="C131" s="22" t="str">
        <f>REFERENTIEL!H116</f>
        <v>Binaire</v>
      </c>
      <c r="D131" s="22" t="str">
        <f>REFERENTIEL!I116</f>
        <v>NON</v>
      </c>
      <c r="E131" s="24">
        <f ca="1">IF($B$17=0,"",IF($C131&lt;&gt;"Taux",IFERROR(INDEX(IMP_DONNEES,$B$17,MATCH(REFERENTIEL!G116,IMP_ENTETES,0)),""),IF(IFERROR(INDEX(IMP_DONNEES,$B$17,MATCH(REFERENTIEL!G116&amp;"_statut",IMP_ENTETES,0)),"")="N","NA",IFERROR(INDEX(IMP_DONNEES,$B$17,MATCH(REFERENTIEL!G116&amp;"_num",IMP_ENTETES,0)),""))))</f>
      </c>
      <c r="F131" s="24">
        <f ca="1">IF($B$17=0,"",IF($C131&lt;&gt;"Taux","",IFERROR(INDEX(IMP_DONNEES,$B$17,MATCH(REFERENTIEL!G116&amp;"_den",IMP_ENTETES,0)),"")))</f>
      </c>
      <c r="G131" s="111"/>
      <c r="H131" s="111"/>
      <c r="I131" s="28">
        <f t="shared" ca="1" si="3"/>
      </c>
      <c r="J131" s="28" t="str">
        <f t="shared" si="4"/>
        <v/>
      </c>
      <c r="K131" s="23">
        <f t="shared" ca="1" si="5"/>
      </c>
      <c r="L131" s="28">
        <f ca="1">IF($B$17=0,"",IFERROR(INDEX(IMP_DONNEES,$B$17,MATCH(REFERENTIEL!G116&amp;"_obs",IMP_ENTETES,0)),""))</f>
      </c>
    </row>
    <row r="132" spans="1:12" ht="15.75" x14ac:dyDescent="0.25">
      <c r="A132" s="22" t="str">
        <f>REFERENTIEL!E117</f>
        <v>SO-PRT-2.2</v>
      </c>
      <c r="B132" s="22" t="str">
        <f>REFERENTIEL!F117</f>
        <v>Présence d’un registre ou d’un canal de signalement</v>
      </c>
      <c r="C132" s="22" t="str">
        <f>REFERENTIEL!H117</f>
        <v>Binaire</v>
      </c>
      <c r="D132" s="22" t="str">
        <f>REFERENTIEL!I117</f>
        <v>NON</v>
      </c>
      <c r="E132" s="24">
        <f ca="1">IF($B$17=0,"",IF($C132&lt;&gt;"Taux",IFERROR(INDEX(IMP_DONNEES,$B$17,MATCH(REFERENTIEL!G117,IMP_ENTETES,0)),""),IF(IFERROR(INDEX(IMP_DONNEES,$B$17,MATCH(REFERENTIEL!G117&amp;"_statut",IMP_ENTETES,0)),"")="N","NA",IFERROR(INDEX(IMP_DONNEES,$B$17,MATCH(REFERENTIEL!G117&amp;"_num",IMP_ENTETES,0)),""))))</f>
      </c>
      <c r="F132" s="24">
        <f ca="1">IF($B$17=0,"",IF($C132&lt;&gt;"Taux","",IFERROR(INDEX(IMP_DONNEES,$B$17,MATCH(REFERENTIEL!G117&amp;"_den",IMP_ENTETES,0)),"")))</f>
      </c>
      <c r="G132" s="111"/>
      <c r="H132" s="111"/>
      <c r="I132" s="28">
        <f t="shared" ca="1" si="3"/>
      </c>
      <c r="J132" s="28" t="str">
        <f t="shared" si="4"/>
        <v/>
      </c>
      <c r="K132" s="23">
        <f t="shared" ca="1" si="5"/>
      </c>
      <c r="L132" s="28">
        <f ca="1">IF($B$17=0,"",IFERROR(INDEX(IMP_DONNEES,$B$17,MATCH(REFERENTIEL!G117&amp;"_obs",IMP_ENTETES,0)),""))</f>
      </c>
    </row>
    <row r="133" spans="1:12" ht="15.75" x14ac:dyDescent="0.25">
      <c r="A133" s="22" t="str">
        <f>REFERENTIEL!E118</f>
        <v>SO-PRT-2.3</v>
      </c>
      <c r="B133" s="22" t="str">
        <f>REFERENTIEL!F118</f>
        <v>Présence d’une trace de traitement des plaintes reçues</v>
      </c>
      <c r="C133" s="22" t="str">
        <f>REFERENTIEL!H118</f>
        <v>Binaire</v>
      </c>
      <c r="D133" s="22" t="str">
        <f>REFERENTIEL!I118</f>
        <v>OUI</v>
      </c>
      <c r="E133" s="24">
        <f ca="1">IF($B$17=0,"",IF($C133&lt;&gt;"Taux",IFERROR(INDEX(IMP_DONNEES,$B$17,MATCH(REFERENTIEL!G118,IMP_ENTETES,0)),""),IF(IFERROR(INDEX(IMP_DONNEES,$B$17,MATCH(REFERENTIEL!G118&amp;"_statut",IMP_ENTETES,0)),"")="N","NA",IFERROR(INDEX(IMP_DONNEES,$B$17,MATCH(REFERENTIEL!G118&amp;"_num",IMP_ENTETES,0)),""))))</f>
      </c>
      <c r="F133" s="24">
        <f ca="1">IF($B$17=0,"",IF($C133&lt;&gt;"Taux","",IFERROR(INDEX(IMP_DONNEES,$B$17,MATCH(REFERENTIEL!G118&amp;"_den",IMP_ENTETES,0)),"")))</f>
      </c>
      <c r="G133" s="111"/>
      <c r="H133" s="111"/>
      <c r="I133" s="28">
        <f t="shared" ca="1" si="3"/>
      </c>
      <c r="J133" s="28" t="str">
        <f t="shared" si="4"/>
        <v/>
      </c>
      <c r="K133" s="23">
        <f t="shared" ca="1" si="5"/>
      </c>
      <c r="L133" s="28">
        <f ca="1">IF($B$17=0,"",IFERROR(INDEX(IMP_DONNEES,$B$17,MATCH(REFERENTIEL!G118&amp;"_obs",IMP_ENTETES,0)),""))</f>
      </c>
    </row>
    <row r="134" spans="1:12" ht="15.75" x14ac:dyDescent="0.25">
      <c r="A134" s="22" t="str">
        <f>REFERENTIEL!E119</f>
        <v>SO-PRT-2.4</v>
      </c>
      <c r="B134" s="22" t="str">
        <f>REFERENTIEL!F119</f>
        <v>Présence d’installations sanitaires séparées et fermant à clé pour les femmes</v>
      </c>
      <c r="C134" s="22" t="str">
        <f>REFERENTIEL!H119</f>
        <v>Binaire</v>
      </c>
      <c r="D134" s="22" t="str">
        <f>REFERENTIEL!I119</f>
        <v>OUI</v>
      </c>
      <c r="E134" s="24">
        <f ca="1">IF($B$17=0,"",IF($C134&lt;&gt;"Taux",IFERROR(INDEX(IMP_DONNEES,$B$17,MATCH(REFERENTIEL!G119,IMP_ENTETES,0)),""),IF(IFERROR(INDEX(IMP_DONNEES,$B$17,MATCH(REFERENTIEL!G119&amp;"_statut",IMP_ENTETES,0)),"")="N","NA",IFERROR(INDEX(IMP_DONNEES,$B$17,MATCH(REFERENTIEL!G119&amp;"_num",IMP_ENTETES,0)),""))))</f>
      </c>
      <c r="F134" s="24">
        <f ca="1">IF($B$17=0,"",IF($C134&lt;&gt;"Taux","",IFERROR(INDEX(IMP_DONNEES,$B$17,MATCH(REFERENTIEL!G119&amp;"_den",IMP_ENTETES,0)),"")))</f>
      </c>
      <c r="G134" s="111"/>
      <c r="H134" s="111"/>
      <c r="I134" s="28">
        <f t="shared" ca="1" si="3"/>
      </c>
      <c r="J134" s="28" t="str">
        <f t="shared" si="4"/>
        <v/>
      </c>
      <c r="K134" s="23">
        <f t="shared" ca="1" si="5"/>
      </c>
      <c r="L134" s="28">
        <f ca="1">IF($B$17=0,"",IFERROR(INDEX(IMP_DONNEES,$B$17,MATCH(REFERENTIEL!G119&amp;"_obs",IMP_ENTETES,0)),""))</f>
      </c>
    </row>
    <row r="135" spans="1:12" ht="15.75" x14ac:dyDescent="0.25">
      <c r="A135" s="22" t="str">
        <f>REFERENTIEL!E120</f>
        <v>SO-PRT-3.1</v>
      </c>
      <c r="B135" s="22" t="str">
        <f>REFERENTIEL!F120</f>
        <v>Absence de dépôt de déchets ou de matériaux sur la voie publique</v>
      </c>
      <c r="C135" s="22" t="str">
        <f>REFERENTIEL!H120</f>
        <v>Binaire</v>
      </c>
      <c r="D135" s="22" t="str">
        <f>REFERENTIEL!I120</f>
        <v>NON</v>
      </c>
      <c r="E135" s="24">
        <f ca="1">IF($B$17=0,"",IF($C135&lt;&gt;"Taux",IFERROR(INDEX(IMP_DONNEES,$B$17,MATCH(REFERENTIEL!G120,IMP_ENTETES,0)),""),IF(IFERROR(INDEX(IMP_DONNEES,$B$17,MATCH(REFERENTIEL!G120&amp;"_statut",IMP_ENTETES,0)),"")="N","NA",IFERROR(INDEX(IMP_DONNEES,$B$17,MATCH(REFERENTIEL!G120&amp;"_num",IMP_ENTETES,0)),""))))</f>
      </c>
      <c r="F135" s="24">
        <f ca="1">IF($B$17=0,"",IF($C135&lt;&gt;"Taux","",IFERROR(INDEX(IMP_DONNEES,$B$17,MATCH(REFERENTIEL!G120&amp;"_den",IMP_ENTETES,0)),"")))</f>
      </c>
      <c r="G135" s="111"/>
      <c r="H135" s="111"/>
      <c r="I135" s="28">
        <f t="shared" ca="1" si="3"/>
      </c>
      <c r="J135" s="28" t="str">
        <f t="shared" si="4"/>
        <v/>
      </c>
      <c r="K135" s="23">
        <f t="shared" ca="1" si="5"/>
      </c>
      <c r="L135" s="28">
        <f ca="1">IF($B$17=0,"",IFERROR(INDEX(IMP_DONNEES,$B$17,MATCH(REFERENTIEL!G120&amp;"_obs",IMP_ENTETES,0)),""))</f>
      </c>
    </row>
    <row r="136" spans="1:12" ht="15.75" x14ac:dyDescent="0.25">
      <c r="A136" s="22" t="str">
        <f>REFERENTIEL!E121</f>
        <v>SO-PRT-3.2</v>
      </c>
      <c r="B136" s="22" t="str">
        <f>REFERENTIEL!F121</f>
        <v>Absence d'obstruction des caniveaux et canaux d'écoulement</v>
      </c>
      <c r="C136" s="22" t="str">
        <f>REFERENTIEL!H121</f>
        <v>Binaire</v>
      </c>
      <c r="D136" s="22" t="str">
        <f>REFERENTIEL!I121</f>
        <v>OUI</v>
      </c>
      <c r="E136" s="24">
        <f ca="1">IF($B$17=0,"",IF($C136&lt;&gt;"Taux",IFERROR(INDEX(IMP_DONNEES,$B$17,MATCH(REFERENTIEL!G121,IMP_ENTETES,0)),""),IF(IFERROR(INDEX(IMP_DONNEES,$B$17,MATCH(REFERENTIEL!G121&amp;"_statut",IMP_ENTETES,0)),"")="N","NA",IFERROR(INDEX(IMP_DONNEES,$B$17,MATCH(REFERENTIEL!G121&amp;"_num",IMP_ENTETES,0)),""))))</f>
      </c>
      <c r="F136" s="24">
        <f ca="1">IF($B$17=0,"",IF($C136&lt;&gt;"Taux","",IFERROR(INDEX(IMP_DONNEES,$B$17,MATCH(REFERENTIEL!G121&amp;"_den",IMP_ENTETES,0)),"")))</f>
      </c>
      <c r="G136" s="111"/>
      <c r="H136" s="111"/>
      <c r="I136" s="28">
        <f t="shared" ca="1" si="3"/>
      </c>
      <c r="J136" s="28" t="str">
        <f t="shared" si="4"/>
        <v/>
      </c>
      <c r="K136" s="23">
        <f t="shared" ca="1" si="5"/>
      </c>
      <c r="L136" s="28">
        <f ca="1">IF($B$17=0,"",IFERROR(INDEX(IMP_DONNEES,$B$17,MATCH(REFERENTIEL!G121&amp;"_obs",IMP_ENTETES,0)),""))</f>
      </c>
    </row>
    <row r="137" spans="1:12" ht="15.75" x14ac:dyDescent="0.25">
      <c r="A137" s="22" t="str">
        <f>REFERENTIEL!E122</f>
        <v>SO-PRT-3.3</v>
      </c>
      <c r="B137" s="22" t="str">
        <f>REFERENTIEL!F122</f>
        <v>Absence d’écoulement d’eau vers les propriétés riveraines</v>
      </c>
      <c r="C137" s="22" t="str">
        <f>REFERENTIEL!H122</f>
        <v>Binaire</v>
      </c>
      <c r="D137" s="22" t="str">
        <f>REFERENTIEL!I122</f>
        <v>NON</v>
      </c>
      <c r="E137" s="24">
        <f ca="1">IF($B$17=0,"",IF($C137&lt;&gt;"Taux",IFERROR(INDEX(IMP_DONNEES,$B$17,MATCH(REFERENTIEL!G122,IMP_ENTETES,0)),""),IF(IFERROR(INDEX(IMP_DONNEES,$B$17,MATCH(REFERENTIEL!G122&amp;"_statut",IMP_ENTETES,0)),"")="N","NA",IFERROR(INDEX(IMP_DONNEES,$B$17,MATCH(REFERENTIEL!G122&amp;"_num",IMP_ENTETES,0)),""))))</f>
      </c>
      <c r="F137" s="24">
        <f ca="1">IF($B$17=0,"",IF($C137&lt;&gt;"Taux","",IFERROR(INDEX(IMP_DONNEES,$B$17,MATCH(REFERENTIEL!G122&amp;"_den",IMP_ENTETES,0)),"")))</f>
      </c>
      <c r="G137" s="111"/>
      <c r="H137" s="111"/>
      <c r="I137" s="28">
        <f t="shared" ca="1" si="3"/>
      </c>
      <c r="J137" s="28" t="str">
        <f t="shared" si="4"/>
        <v/>
      </c>
      <c r="K137" s="23">
        <f t="shared" ca="1" si="5"/>
      </c>
      <c r="L137" s="28">
        <f ca="1">IF($B$17=0,"",IFERROR(INDEX(IMP_DONNEES,$B$17,MATCH(REFERENTIEL!G122&amp;"_obs",IMP_ENTETES,0)),""))</f>
      </c>
    </row>
    <row r="138" spans="1:12" ht="15.75" x14ac:dyDescent="0.25">
      <c r="A138" s="22" t="str">
        <f>REFERENTIEL!E123</f>
        <v>SO-PRT-3.4</v>
      </c>
      <c r="B138" s="22" t="str">
        <f>REFERENTIEL!F123</f>
        <v>Présence d'un bâchage des camions de matériaux fins à la sortie du chantier</v>
      </c>
      <c r="C138" s="22" t="str">
        <f>REFERENTIEL!H123</f>
        <v>Binaire</v>
      </c>
      <c r="D138" s="22" t="str">
        <f>REFERENTIEL!I123</f>
        <v>OUI</v>
      </c>
      <c r="E138" s="24">
        <f ca="1">IF($B$17=0,"",IF($C138&lt;&gt;"Taux",IFERROR(INDEX(IMP_DONNEES,$B$17,MATCH(REFERENTIEL!G123,IMP_ENTETES,0)),""),IF(IFERROR(INDEX(IMP_DONNEES,$B$17,MATCH(REFERENTIEL!G123&amp;"_statut",IMP_ENTETES,0)),"")="N","NA",IFERROR(INDEX(IMP_DONNEES,$B$17,MATCH(REFERENTIEL!G123&amp;"_num",IMP_ENTETES,0)),""))))</f>
      </c>
      <c r="F138" s="24">
        <f ca="1">IF($B$17=0,"",IF($C138&lt;&gt;"Taux","",IFERROR(INDEX(IMP_DONNEES,$B$17,MATCH(REFERENTIEL!G123&amp;"_den",IMP_ENTETES,0)),"")))</f>
      </c>
      <c r="G138" s="111"/>
      <c r="H138" s="111"/>
      <c r="I138" s="28">
        <f t="shared" ca="1" si="3"/>
      </c>
      <c r="J138" s="28" t="str">
        <f t="shared" si="4"/>
        <v/>
      </c>
      <c r="K138" s="23">
        <f t="shared" ca="1" si="5"/>
      </c>
      <c r="L138" s="28">
        <f ca="1">IF($B$17=0,"",IFERROR(INDEX(IMP_DONNEES,$B$17,MATCH(REFERENTIEL!G123&amp;"_obs",IMP_ENTETES,0)),""))</f>
      </c>
    </row>
    <row r="139" spans="1:12" ht="15.75" x14ac:dyDescent="0.25">
      <c r="A139" s="22" t="str">
        <f>REFERENTIEL!E124</f>
        <v>SO-CNF-1.1</v>
      </c>
      <c r="B139" s="22" t="str">
        <f>REFERENTIEL!F124</f>
        <v>Présence de l'immatriculation à la CNSS de chaque entreprise intervenant sur le chantier</v>
      </c>
      <c r="C139" s="22" t="str">
        <f>REFERENTIEL!H124</f>
        <v>Binaire</v>
      </c>
      <c r="D139" s="22" t="str">
        <f>REFERENTIEL!I124</f>
        <v>NON</v>
      </c>
      <c r="E139" s="24">
        <f ca="1">IF($B$17=0,"",IF($C139&lt;&gt;"Taux",IFERROR(INDEX(IMP_DONNEES,$B$17,MATCH(REFERENTIEL!G124,IMP_ENTETES,0)),""),IF(IFERROR(INDEX(IMP_DONNEES,$B$17,MATCH(REFERENTIEL!G124&amp;"_statut",IMP_ENTETES,0)),"")="N","NA",IFERROR(INDEX(IMP_DONNEES,$B$17,MATCH(REFERENTIEL!G124&amp;"_num",IMP_ENTETES,0)),""))))</f>
      </c>
      <c r="F139" s="24">
        <f ca="1">IF($B$17=0,"",IF($C139&lt;&gt;"Taux","",IFERROR(INDEX(IMP_DONNEES,$B$17,MATCH(REFERENTIEL!G124&amp;"_den",IMP_ENTETES,0)),"")))</f>
      </c>
      <c r="G139" s="111"/>
      <c r="H139" s="111"/>
      <c r="I139" s="28">
        <f t="shared" ca="1" si="3"/>
      </c>
      <c r="J139" s="28" t="str">
        <f t="shared" si="4"/>
        <v/>
      </c>
      <c r="K139" s="23">
        <f t="shared" ca="1" si="5"/>
      </c>
      <c r="L139" s="28">
        <f ca="1">IF($B$17=0,"",IFERROR(INDEX(IMP_DONNEES,$B$17,MATCH(REFERENTIEL!G124&amp;"_obs",IMP_ENTETES,0)),""))</f>
      </c>
    </row>
    <row r="140" spans="1:12" ht="15.75" x14ac:dyDescent="0.25">
      <c r="A140" s="22" t="str">
        <f>REFERENTIEL!E125</f>
        <v>SO-CNF-1.2</v>
      </c>
      <c r="B140" s="22" t="str">
        <f>REFERENTIEL!F125</f>
        <v>Présence de l'attestation de régularité CNSS en cours de validité pour chaque entreprise intervenant sur le chantier</v>
      </c>
      <c r="C140" s="22" t="str">
        <f>REFERENTIEL!H125</f>
        <v>Binaire</v>
      </c>
      <c r="D140" s="22" t="str">
        <f>REFERENTIEL!I125</f>
        <v>NON</v>
      </c>
      <c r="E140" s="24">
        <f ca="1">IF($B$17=0,"",IF($C140&lt;&gt;"Taux",IFERROR(INDEX(IMP_DONNEES,$B$17,MATCH(REFERENTIEL!G125,IMP_ENTETES,0)),""),IF(IFERROR(INDEX(IMP_DONNEES,$B$17,MATCH(REFERENTIEL!G125&amp;"_statut",IMP_ENTETES,0)),"")="N","NA",IFERROR(INDEX(IMP_DONNEES,$B$17,MATCH(REFERENTIEL!G125&amp;"_num",IMP_ENTETES,0)),""))))</f>
      </c>
      <c r="F140" s="24">
        <f ca="1">IF($B$17=0,"",IF($C140&lt;&gt;"Taux","",IFERROR(INDEX(IMP_DONNEES,$B$17,MATCH(REFERENTIEL!G125&amp;"_den",IMP_ENTETES,0)),"")))</f>
      </c>
      <c r="G140" s="111"/>
      <c r="H140" s="111"/>
      <c r="I140" s="28">
        <f t="shared" ca="1" si="3"/>
      </c>
      <c r="J140" s="28" t="str">
        <f t="shared" si="4"/>
        <v/>
      </c>
      <c r="K140" s="23">
        <f t="shared" ca="1" si="5"/>
      </c>
      <c r="L140" s="28">
        <f ca="1">IF($B$17=0,"",IFERROR(INDEX(IMP_DONNEES,$B$17,MATCH(REFERENTIEL!G125&amp;"_obs",IMP_ENTETES,0)),""))</f>
      </c>
    </row>
    <row r="141" spans="1:12" ht="15.75" x14ac:dyDescent="0.25">
      <c r="A141" s="22" t="str">
        <f>REFERENTIEL!E126</f>
        <v>SO-CNF-1.3</v>
      </c>
      <c r="B141" s="22" t="str">
        <f>REFERENTIEL!F126</f>
        <v>Présence de la liste des tâcherons intervenant sur le chantier</v>
      </c>
      <c r="C141" s="22" t="str">
        <f>REFERENTIEL!H126</f>
        <v>Binaire</v>
      </c>
      <c r="D141" s="22" t="str">
        <f>REFERENTIEL!I126</f>
        <v>OUI</v>
      </c>
      <c r="E141" s="24">
        <f ca="1">IF($B$17=0,"",IF($C141&lt;&gt;"Taux",IFERROR(INDEX(IMP_DONNEES,$B$17,MATCH(REFERENTIEL!G126,IMP_ENTETES,0)),""),IF(IFERROR(INDEX(IMP_DONNEES,$B$17,MATCH(REFERENTIEL!G126&amp;"_statut",IMP_ENTETES,0)),"")="N","NA",IFERROR(INDEX(IMP_DONNEES,$B$17,MATCH(REFERENTIEL!G126&amp;"_num",IMP_ENTETES,0)),""))))</f>
      </c>
      <c r="F141" s="24">
        <f ca="1">IF($B$17=0,"",IF($C141&lt;&gt;"Taux","",IFERROR(INDEX(IMP_DONNEES,$B$17,MATCH(REFERENTIEL!G126&amp;"_den",IMP_ENTETES,0)),"")))</f>
      </c>
      <c r="G141" s="111"/>
      <c r="H141" s="111"/>
      <c r="I141" s="28">
        <f t="shared" ca="1" si="3"/>
      </c>
      <c r="J141" s="28" t="str">
        <f t="shared" si="4"/>
        <v/>
      </c>
      <c r="K141" s="23">
        <f t="shared" ca="1" si="5"/>
      </c>
      <c r="L141" s="28">
        <f ca="1">IF($B$17=0,"",IFERROR(INDEX(IMP_DONNEES,$B$17,MATCH(REFERENTIEL!G126&amp;"_obs",IMP_ENTETES,0)),""))</f>
      </c>
    </row>
    <row r="142" spans="1:12" ht="15.75" x14ac:dyDescent="0.25">
      <c r="A142" s="22" t="str">
        <f>REFERENTIEL!E127</f>
        <v>SO-CNF-1.4</v>
      </c>
      <c r="B142" s="22" t="str">
        <f>REFERENTIEL!F127</f>
        <v>Présence d'un contrat écrit pour au moins un tâcheron</v>
      </c>
      <c r="C142" s="22" t="str">
        <f>REFERENTIEL!H127</f>
        <v>Binaire</v>
      </c>
      <c r="D142" s="22" t="str">
        <f>REFERENTIEL!I127</f>
        <v>OUI</v>
      </c>
      <c r="E142" s="24">
        <f ca="1">IF($B$17=0,"",IF($C142&lt;&gt;"Taux",IFERROR(INDEX(IMP_DONNEES,$B$17,MATCH(REFERENTIEL!G127,IMP_ENTETES,0)),""),IF(IFERROR(INDEX(IMP_DONNEES,$B$17,MATCH(REFERENTIEL!G127&amp;"_statut",IMP_ENTETES,0)),"")="N","NA",IFERROR(INDEX(IMP_DONNEES,$B$17,MATCH(REFERENTIEL!G127&amp;"_num",IMP_ENTETES,0)),""))))</f>
      </c>
      <c r="F142" s="24">
        <f ca="1">IF($B$17=0,"",IF($C142&lt;&gt;"Taux","",IFERROR(INDEX(IMP_DONNEES,$B$17,MATCH(REFERENTIEL!G127&amp;"_den",IMP_ENTETES,0)),"")))</f>
      </c>
      <c r="G142" s="111"/>
      <c r="H142" s="111"/>
      <c r="I142" s="28">
        <f t="shared" ca="1" si="3"/>
      </c>
      <c r="J142" s="28" t="str">
        <f t="shared" si="4"/>
        <v/>
      </c>
      <c r="K142" s="23">
        <f t="shared" ca="1" si="5"/>
      </c>
      <c r="L142" s="28">
        <f ca="1">IF($B$17=0,"",IFERROR(INDEX(IMP_DONNEES,$B$17,MATCH(REFERENTIEL!G127&amp;"_obs",IMP_ENTETES,0)),""))</f>
      </c>
    </row>
    <row r="143" spans="1:12" ht="15.75" x14ac:dyDescent="0.25">
      <c r="A143" s="22" t="str">
        <f>REFERENTIEL!E128</f>
        <v>SO-CNF-2.1</v>
      </c>
      <c r="B143" s="22" t="str">
        <f>REFERENTIEL!F128</f>
        <v>Absence de travailleur de moins de quatorze ans sur le chantier</v>
      </c>
      <c r="C143" s="22" t="str">
        <f>REFERENTIEL!H128</f>
        <v>Binaire</v>
      </c>
      <c r="D143" s="22" t="str">
        <f>REFERENTIEL!I128</f>
        <v>NON</v>
      </c>
      <c r="E143" s="24">
        <f ca="1">IF($B$17=0,"",IF($C143&lt;&gt;"Taux",IFERROR(INDEX(IMP_DONNEES,$B$17,MATCH(REFERENTIEL!G128,IMP_ENTETES,0)),""),IF(IFERROR(INDEX(IMP_DONNEES,$B$17,MATCH(REFERENTIEL!G128&amp;"_statut",IMP_ENTETES,0)),"")="N","NA",IFERROR(INDEX(IMP_DONNEES,$B$17,MATCH(REFERENTIEL!G128&amp;"_num",IMP_ENTETES,0)),""))))</f>
      </c>
      <c r="F143" s="24">
        <f ca="1">IF($B$17=0,"",IF($C143&lt;&gt;"Taux","",IFERROR(INDEX(IMP_DONNEES,$B$17,MATCH(REFERENTIEL!G128&amp;"_den",IMP_ENTETES,0)),"")))</f>
      </c>
      <c r="G143" s="111"/>
      <c r="H143" s="111"/>
      <c r="I143" s="28">
        <f t="shared" ca="1" si="3"/>
      </c>
      <c r="J143" s="28" t="str">
        <f t="shared" si="4"/>
        <v/>
      </c>
      <c r="K143" s="23">
        <f t="shared" ca="1" si="5"/>
      </c>
      <c r="L143" s="28">
        <f ca="1">IF($B$17=0,"",IFERROR(INDEX(IMP_DONNEES,$B$17,MATCH(REFERENTIEL!G128&amp;"_obs",IMP_ENTETES,0)),""))</f>
      </c>
    </row>
    <row r="144" spans="1:12" ht="15.75" x14ac:dyDescent="0.25">
      <c r="A144" s="22" t="str">
        <f>REFERENTIEL!E129</f>
        <v>SO-CNF-2.2</v>
      </c>
      <c r="B144" s="22" t="str">
        <f>REFERENTIEL!F129</f>
        <v>Absence de travailleur de moins de dix-huit ans dans les zones où il peut toucher des conducteurs sous tension</v>
      </c>
      <c r="C144" s="22" t="str">
        <f>REFERENTIEL!H129</f>
        <v>Binaire</v>
      </c>
      <c r="D144" s="22" t="str">
        <f>REFERENTIEL!I129</f>
        <v>OUI</v>
      </c>
      <c r="E144" s="24">
        <f ca="1">IF($B$17=0,"",IF($C144&lt;&gt;"Taux",IFERROR(INDEX(IMP_DONNEES,$B$17,MATCH(REFERENTIEL!G129,IMP_ENTETES,0)),""),IF(IFERROR(INDEX(IMP_DONNEES,$B$17,MATCH(REFERENTIEL!G129&amp;"_statut",IMP_ENTETES,0)),"")="N","NA",IFERROR(INDEX(IMP_DONNEES,$B$17,MATCH(REFERENTIEL!G129&amp;"_num",IMP_ENTETES,0)),""))))</f>
      </c>
      <c r="F144" s="24">
        <f ca="1">IF($B$17=0,"",IF($C144&lt;&gt;"Taux","",IFERROR(INDEX(IMP_DONNEES,$B$17,MATCH(REFERENTIEL!G129&amp;"_den",IMP_ENTETES,0)),"")))</f>
      </c>
      <c r="G144" s="111"/>
      <c r="H144" s="111"/>
      <c r="I144" s="28">
        <f t="shared" ca="1" si="3"/>
      </c>
      <c r="J144" s="28" t="str">
        <f t="shared" si="4"/>
        <v/>
      </c>
      <c r="K144" s="23">
        <f t="shared" ca="1" si="5"/>
      </c>
      <c r="L144" s="28">
        <f ca="1">IF($B$17=0,"",IFERROR(INDEX(IMP_DONNEES,$B$17,MATCH(REFERENTIEL!G129&amp;"_obs",IMP_ENTETES,0)),""))</f>
      </c>
    </row>
    <row r="145" spans="1:12" ht="15.75" x14ac:dyDescent="0.25">
      <c r="A145" s="22" t="str">
        <f>REFERENTIEL!E130</f>
        <v>SO-CNF-2.3</v>
      </c>
      <c r="B145" s="22" t="str">
        <f>REFERENTIEL!F130</f>
        <v xml:space="preserve">Taux de travailleurs dont la date de naissance est renseignée au registre du personnel </v>
      </c>
      <c r="C145" s="22" t="str">
        <f>REFERENTIEL!H130</f>
        <v>Taux</v>
      </c>
      <c r="D145" s="22" t="str">
        <f>REFERENTIEL!I130</f>
        <v>NON</v>
      </c>
      <c r="E145" s="24">
        <f ca="1">IF($B$17=0,"",IF($C145&lt;&gt;"Taux",IFERROR(INDEX(IMP_DONNEES,$B$17,MATCH(REFERENTIEL!G130,IMP_ENTETES,0)),""),IF(IFERROR(INDEX(IMP_DONNEES,$B$17,MATCH(REFERENTIEL!G130&amp;"_statut",IMP_ENTETES,0)),"")="N","NA",IFERROR(INDEX(IMP_DONNEES,$B$17,MATCH(REFERENTIEL!G130&amp;"_num",IMP_ENTETES,0)),""))))</f>
      </c>
      <c r="F145" s="24">
        <f ca="1">IF($B$17=0,"",IF($C145&lt;&gt;"Taux","",IFERROR(INDEX(IMP_DONNEES,$B$17,MATCH(REFERENTIEL!G130&amp;"_den",IMP_ENTETES,0)),"")))</f>
      </c>
      <c r="G145" s="111"/>
      <c r="H145" s="111"/>
      <c r="I145" s="28">
        <f t="shared" ca="1" si="3"/>
      </c>
      <c r="J145" s="28">
        <f t="shared" ca="1" si="4"/>
      </c>
      <c r="K145" s="23">
        <f t="shared" ca="1" si="5"/>
      </c>
      <c r="L145" s="28">
        <f ca="1">IF($B$17=0,"",IFERROR(INDEX(IMP_DONNEES,$B$17,MATCH(REFERENTIEL!G130&amp;"_obs",IMP_ENTETES,0)),""))</f>
      </c>
    </row>
    <row r="146" spans="1:12" ht="15.75" x14ac:dyDescent="0.25">
      <c r="A146" s="22" t="str">
        <f>REFERENTIEL!E131</f>
        <v>SO-CNF-3.1</v>
      </c>
      <c r="B146" s="22" t="str">
        <f>REFERENTIEL!F131</f>
        <v>Présence du volet social du plan de gestion, décliné au chantier</v>
      </c>
      <c r="C146" s="22" t="str">
        <f>REFERENTIEL!H131</f>
        <v>Binaire</v>
      </c>
      <c r="D146" s="22" t="str">
        <f>REFERENTIEL!I131</f>
        <v>NON</v>
      </c>
      <c r="E146" s="24">
        <f ca="1">IF($B$17=0,"",IF($C146&lt;&gt;"Taux",IFERROR(INDEX(IMP_DONNEES,$B$17,MATCH(REFERENTIEL!G131,IMP_ENTETES,0)),""),IF(IFERROR(INDEX(IMP_DONNEES,$B$17,MATCH(REFERENTIEL!G131&amp;"_statut",IMP_ENTETES,0)),"")="N","NA",IFERROR(INDEX(IMP_DONNEES,$B$17,MATCH(REFERENTIEL!G131&amp;"_num",IMP_ENTETES,0)),""))))</f>
      </c>
      <c r="F146" s="24">
        <f ca="1">IF($B$17=0,"",IF($C146&lt;&gt;"Taux","",IFERROR(INDEX(IMP_DONNEES,$B$17,MATCH(REFERENTIEL!G131&amp;"_den",IMP_ENTETES,0)),"")))</f>
      </c>
      <c r="G146" s="111"/>
      <c r="H146" s="111"/>
      <c r="I146" s="28">
        <f t="shared" ca="1" si="3"/>
      </c>
      <c r="J146" s="28" t="str">
        <f t="shared" si="4"/>
        <v/>
      </c>
      <c r="K146" s="23">
        <f t="shared" ca="1" si="5"/>
      </c>
      <c r="L146" s="28">
        <f ca="1">IF($B$17=0,"",IFERROR(INDEX(IMP_DONNEES,$B$17,MATCH(REFERENTIEL!G131&amp;"_obs",IMP_ENTETES,0)),""))</f>
      </c>
    </row>
    <row r="147" spans="1:12" ht="15.75" x14ac:dyDescent="0.25">
      <c r="A147" s="22" t="str">
        <f>REFERENTIEL!E132</f>
        <v>SO-CNF-3.2</v>
      </c>
      <c r="B147" s="22" t="str">
        <f>REFERENTIEL!F132</f>
        <v>Présence d’un responsable social ou d’un point focal désigné pour sa mise en œuvre</v>
      </c>
      <c r="C147" s="22" t="str">
        <f>REFERENTIEL!H132</f>
        <v>Binaire</v>
      </c>
      <c r="D147" s="22" t="str">
        <f>REFERENTIEL!I132</f>
        <v>NON</v>
      </c>
      <c r="E147" s="24">
        <f ca="1">IF($B$17=0,"",IF($C147&lt;&gt;"Taux",IFERROR(INDEX(IMP_DONNEES,$B$17,MATCH(REFERENTIEL!G132,IMP_ENTETES,0)),""),IF(IFERROR(INDEX(IMP_DONNEES,$B$17,MATCH(REFERENTIEL!G132&amp;"_statut",IMP_ENTETES,0)),"")="N","NA",IFERROR(INDEX(IMP_DONNEES,$B$17,MATCH(REFERENTIEL!G132&amp;"_num",IMP_ENTETES,0)),""))))</f>
      </c>
      <c r="F147" s="24">
        <f ca="1">IF($B$17=0,"",IF($C147&lt;&gt;"Taux","",IFERROR(INDEX(IMP_DONNEES,$B$17,MATCH(REFERENTIEL!G132&amp;"_den",IMP_ENTETES,0)),"")))</f>
      </c>
      <c r="G147" s="111"/>
      <c r="H147" s="111"/>
      <c r="I147" s="28">
        <f t="shared" ca="1" si="3"/>
      </c>
      <c r="J147" s="28" t="str">
        <f t="shared" si="4"/>
        <v/>
      </c>
      <c r="K147" s="23">
        <f t="shared" ca="1" si="5"/>
      </c>
      <c r="L147" s="28">
        <f ca="1">IF($B$17=0,"",IFERROR(INDEX(IMP_DONNEES,$B$17,MATCH(REFERENTIEL!G132&amp;"_obs",IMP_ENTETES,0)),""))</f>
      </c>
    </row>
    <row r="148" spans="1:12" ht="15.75" x14ac:dyDescent="0.25">
      <c r="A148" s="22" t="str">
        <f>REFERENTIEL!E133</f>
        <v>SO-CNF-3.3</v>
      </c>
      <c r="B148" s="22" t="str">
        <f>REFERENTIEL!F133</f>
        <v>Présence des rapports de suivi social transmis au maître d’ouvrage</v>
      </c>
      <c r="C148" s="22" t="str">
        <f>REFERENTIEL!H133</f>
        <v>Binaire</v>
      </c>
      <c r="D148" s="22" t="str">
        <f>REFERENTIEL!I133</f>
        <v>NON</v>
      </c>
      <c r="E148" s="24">
        <f ca="1">IF($B$17=0,"",IF($C148&lt;&gt;"Taux",IFERROR(INDEX(IMP_DONNEES,$B$17,MATCH(REFERENTIEL!G133,IMP_ENTETES,0)),""),IF(IFERROR(INDEX(IMP_DONNEES,$B$17,MATCH(REFERENTIEL!G133&amp;"_statut",IMP_ENTETES,0)),"")="N","NA",IFERROR(INDEX(IMP_DONNEES,$B$17,MATCH(REFERENTIEL!G133&amp;"_num",IMP_ENTETES,0)),""))))</f>
      </c>
      <c r="F148" s="24">
        <f ca="1">IF($B$17=0,"",IF($C148&lt;&gt;"Taux","",IFERROR(INDEX(IMP_DONNEES,$B$17,MATCH(REFERENTIEL!G133&amp;"_den",IMP_ENTETES,0)),"")))</f>
      </c>
      <c r="G148" s="111"/>
      <c r="H148" s="111"/>
      <c r="I148" s="28">
        <f t="shared" ref="I148:I149" ca="1" si="6">IF($B$17=0,"",IF($G148&lt;&gt;"",IF($G148="NA","",$G148),IF(OR($E148="",$E148="NA"),"",IFERROR($E148*1,""))))</f>
      </c>
      <c r="J148" s="28" t="str">
        <f t="shared" ref="J148:J149" si="7">IF($C148&lt;&gt;"Taux","",IF($H148&lt;&gt;"",$H148,IF($F148="","",IFERROR($F148*1,""))))</f>
        <v/>
      </c>
      <c r="K148" s="23">
        <f t="shared" ref="K148:K149" ca="1" si="8">IF($B$17=0,"",IF(OR($G148="NA",AND($G148="",$E148="NA")),IF($D148="OUI","NA","NA interdit"),IF($I148="","Manquant",IF($C148="Binaire",IF(OR($I148=0,$I148=1),"OK","Hors champ"),IF($C148="Maturité",IF(AND($I148&gt;=1,$I148&lt;=5,INT($I148)=$I148),"OK","Hors champ"),IF($I148&lt;0,"Hors champ",IF(OR($J148="",NOT(ISNUMBER($J148)),$J148&lt;=0),"Dén. invalide",IF($I148&gt;$J148,"Num. &gt; dén.","OK"))))))))</f>
      </c>
      <c r="L148" s="28">
        <f ca="1">IF($B$17=0,"",IFERROR(INDEX(IMP_DONNEES,$B$17,MATCH(REFERENTIEL!G133&amp;"_obs",IMP_ENTETES,0)),""))</f>
      </c>
    </row>
    <row r="149" spans="1:12" ht="15.75" x14ac:dyDescent="0.25">
      <c r="A149" s="22" t="str">
        <f>REFERENTIEL!E134</f>
        <v>SO-CNF-3.4</v>
      </c>
      <c r="B149" s="22" t="str">
        <f>REFERENTIEL!F134</f>
        <v>Présence d’une trace de suite donnée aux écarts sociaux relevés lors des missions de contrôle</v>
      </c>
      <c r="C149" s="22" t="str">
        <f>REFERENTIEL!H134</f>
        <v>Binaire</v>
      </c>
      <c r="D149" s="22" t="str">
        <f>REFERENTIEL!I134</f>
        <v>OUI</v>
      </c>
      <c r="E149" s="24">
        <f ca="1">IF($B$17=0,"",IF($C149&lt;&gt;"Taux",IFERROR(INDEX(IMP_DONNEES,$B$17,MATCH(REFERENTIEL!G134,IMP_ENTETES,0)),""),IF(IFERROR(INDEX(IMP_DONNEES,$B$17,MATCH(REFERENTIEL!G134&amp;"_statut",IMP_ENTETES,0)),"")="N","NA",IFERROR(INDEX(IMP_DONNEES,$B$17,MATCH(REFERENTIEL!G134&amp;"_num",IMP_ENTETES,0)),""))))</f>
      </c>
      <c r="F149" s="24">
        <f ca="1">IF($B$17=0,"",IF($C149&lt;&gt;"Taux","",IFERROR(INDEX(IMP_DONNEES,$B$17,MATCH(REFERENTIEL!G134&amp;"_den",IMP_ENTETES,0)),"")))</f>
      </c>
      <c r="G149" s="111"/>
      <c r="H149" s="111"/>
      <c r="I149" s="28">
        <f t="shared" ca="1" si="6"/>
      </c>
      <c r="J149" s="28" t="str">
        <f t="shared" si="7"/>
        <v/>
      </c>
      <c r="K149" s="23">
        <f t="shared" ca="1" si="8"/>
      </c>
      <c r="L149" s="28">
        <f ca="1">IF($B$17=0,"",IFERROR(INDEX(IMP_DONNEES,$B$17,MATCH(REFERENTIEL!G134&amp;"_obs",IMP_ENTETES,0)),""))</f>
      </c>
    </row>
  </sheetData>
  <mergeCells count="1">
    <mergeCell ref="A1:R1"/>
  </mergeCells>
  <conditionalFormatting sqref="K19:K149">
    <cfRule type="expression" dxfId="12" priority="1">
      <formula>AND($K19&lt;&gt;"",$K19&lt;&gt;"OK",$K19&lt;&gt;"NA")</formula>
    </cfRule>
  </conditionalFormatting>
  <dataValidations count="3">
    <dataValidation type="date" allowBlank="1" showInputMessage="1" showErrorMessage="1" errorTitle="Date invalide" error="Saisir une date au format jj/mm/aaaa." sqref="B5" xr:uid="{B23DADB5-5A64-4BE7-8866-44935AB5D6C1}">
      <formula1>46023</formula1>
      <formula2>47848</formula2>
    </dataValidation>
    <dataValidation type="custom" allowBlank="1" showInputMessage="1" showErrorMessage="1" errorTitle="Valeur hors champ" error="Binaire : 0 ou 1. Maturité : 1 à 5. Taux : numérateur positif. NA seulement si la colonne NA autorisé indique OUI" sqref="G19:G149" xr:uid="{C031C350-AE2B-4788-80B7-D234D76EEF9C}">
      <formula1>IF($G19="NA",$D19="OUI",IF(NOT(ISNUMBER($G19)),FALSE,IF($C19="Binaire",OR($G19=0,$G19=1),IF($C19="Maturité",AND($G19&gt;=1,$G19&lt;=5,INT($G19)=$G19),$G19&gt;=0))))</formula1>
    </dataValidation>
    <dataValidation type="custom" allowBlank="1" showInputMessage="1" showErrorMessage="1" errorTitle="Dénominateur invalide" error="Le dénominateur ne concerne que les taux et doit etre supérieur à 0." sqref="H19:H149" xr:uid="{928D8867-0770-4C83-B4CC-C5A1B0D93D86}">
      <formula1>AND($C19="Taux",ISNUMBER($H19),$H19&gt;0)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E8D1-3CC5-462A-9BF5-7021DB145181}">
  <dimension ref="A1:AF134"/>
  <sheetViews>
    <sheetView topLeftCell="A3" workbookViewId="0">
      <selection activeCell="D24" sqref="D24"/>
    </sheetView>
  </sheetViews>
  <sheetFormatPr baseColWidth="10" defaultRowHeight="15" x14ac:dyDescent="0.25"/>
  <cols>
    <col min="1" max="1" width="13.140625" bestFit="1" customWidth="1"/>
    <col min="2" max="2" width="13.7109375" bestFit="1" customWidth="1"/>
    <col min="4" max="4" width="15" bestFit="1" customWidth="1"/>
    <col min="7" max="7" width="14.85546875" bestFit="1" customWidth="1"/>
    <col min="12" max="12" width="15" bestFit="1" customWidth="1"/>
    <col min="13" max="13" width="13.7109375" bestFit="1" customWidth="1"/>
    <col min="15" max="15" width="15.28515625" bestFit="1" customWidth="1"/>
    <col min="18" max="18" width="14.7109375" bestFit="1" customWidth="1"/>
    <col min="20" max="20" width="15.5703125" bestFit="1" customWidth="1"/>
    <col min="23" max="23" width="14.7109375" bestFit="1" customWidth="1"/>
    <col min="29" max="29" width="16.42578125" bestFit="1" customWidth="1"/>
    <col min="31" max="31" width="30.5703125" bestFit="1" customWidth="1"/>
  </cols>
  <sheetData>
    <row r="1" spans="1:32" ht="20.25" x14ac:dyDescent="0.25">
      <c r="A1" s="110" t="s">
        <v>516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E1" s="47" t="s">
        <v>537</v>
      </c>
      <c r="AF1" s="47">
        <v>50</v>
      </c>
    </row>
    <row r="3" spans="1:32" ht="15.75" x14ac:dyDescent="0.25">
      <c r="A3" s="34" t="s">
        <v>517</v>
      </c>
      <c r="B3" s="34" t="s">
        <v>518</v>
      </c>
      <c r="C3" s="34" t="s">
        <v>519</v>
      </c>
      <c r="D3" s="34" t="s">
        <v>520</v>
      </c>
      <c r="E3" s="34" t="s">
        <v>521</v>
      </c>
      <c r="F3" s="34" t="s">
        <v>522</v>
      </c>
      <c r="G3" s="34" t="s">
        <v>523</v>
      </c>
      <c r="H3" s="34" t="s">
        <v>524</v>
      </c>
      <c r="I3" s="34" t="s">
        <v>510</v>
      </c>
      <c r="J3" s="34" t="s">
        <v>525</v>
      </c>
      <c r="L3" s="34" t="s">
        <v>520</v>
      </c>
      <c r="M3" s="34" t="s">
        <v>518</v>
      </c>
      <c r="N3" s="34" t="s">
        <v>519</v>
      </c>
      <c r="O3" s="34" t="s">
        <v>526</v>
      </c>
      <c r="P3" s="34" t="s">
        <v>527</v>
      </c>
      <c r="R3" s="34" t="s">
        <v>518</v>
      </c>
      <c r="S3" s="34" t="s">
        <v>519</v>
      </c>
      <c r="T3" s="34" t="s">
        <v>528</v>
      </c>
      <c r="U3" s="34" t="s">
        <v>529</v>
      </c>
      <c r="W3" s="34" t="s">
        <v>518</v>
      </c>
      <c r="X3" s="34" t="s">
        <v>530</v>
      </c>
      <c r="Y3" s="34" t="s">
        <v>531</v>
      </c>
      <c r="Z3" s="34" t="s">
        <v>510</v>
      </c>
      <c r="AA3" s="34" t="s">
        <v>532</v>
      </c>
      <c r="AB3" s="34" t="s">
        <v>533</v>
      </c>
      <c r="AC3" s="34" t="s">
        <v>534</v>
      </c>
      <c r="AE3" s="34" t="s">
        <v>538</v>
      </c>
      <c r="AF3" s="34" t="s">
        <v>539</v>
      </c>
    </row>
    <row r="4" spans="1:32" ht="15.75" x14ac:dyDescent="0.25">
      <c r="A4" s="37" t="str">
        <f>REFERENTIEL!E4</f>
        <v>SA-PRV-1.1</v>
      </c>
      <c r="B4" s="37" t="str">
        <f>REFERENTIEL!A4</f>
        <v>Santé</v>
      </c>
      <c r="C4" s="37" t="str">
        <f>REFERENTIEL!B4</f>
        <v>Prévention</v>
      </c>
      <c r="D4" s="36" t="str">
        <f>REFERENTIEL!C4</f>
        <v>SA-PRV-1</v>
      </c>
      <c r="E4" s="35" t="str">
        <f>REFERENTIEL!H4</f>
        <v>Binaire</v>
      </c>
      <c r="F4" s="35">
        <f>REFERENTIEL!J4</f>
        <v>1</v>
      </c>
      <c r="G4" s="41">
        <f ca="1">IF(SAISIE!$I19="","",IF($E4="Binaire",SAISIE!$I19*100,IF($E4="Maturité",(SAISIE!$I19-1)*25,IF(OR(SAISIE!$J19="",SAISIE!$J19=0),"",MIN(100,SAISIE!$I19*$F4/SAISIE!$J19*100)))))</f>
      </c>
      <c r="H4" s="39">
        <f ca="1">IF(AND($G4&lt;&gt;"",$G4=0),1,"")</f>
      </c>
      <c r="I4" s="35">
        <f ca="1">IF(SAISIE!$K19="NA",1,"")</f>
      </c>
      <c r="J4" s="35">
        <f ca="1">IF(AND(SAISIE!$K19&lt;&gt;"",SAISIE!$K19&lt;&gt;"OK",SAISIE!$K19&lt;&gt;"NA"),1,"")</f>
      </c>
      <c r="L4" s="37" t="str">
        <f>$D$4</f>
        <v>SA-PRV-1</v>
      </c>
      <c r="M4" s="37" t="str">
        <f>IFERROR(INDEX($B$4:$B$134,MATCH($L4,$D$4:$D$134,0)),"")</f>
        <v>Santé</v>
      </c>
      <c r="N4" s="37" t="str">
        <f>IFERROR(INDEX($C$4:$C$134,MATCH($L4,$D$4:$D$134,0)),"")</f>
        <v>Prévention</v>
      </c>
      <c r="O4" s="42" t="str">
        <f ca="1">IF($L4="","",IFERROR(AVERAGEIF($D$4:$D$134,$L4,$G$4:$G$134),""))</f>
        <v/>
      </c>
      <c r="P4" s="36">
        <f ca="1">IF($L4="","",IF(COUNTIF($D$4:$D$134,$L4)=SUMIF($D$4:$D$134,$L4,$I$4:$I$134),1,""))</f>
      </c>
      <c r="R4" s="30" t="s">
        <v>7</v>
      </c>
      <c r="S4" s="30" t="s">
        <v>8</v>
      </c>
      <c r="T4" s="44" t="str">
        <f ca="1">IFERROR(AVERAGEIFS($O$4:$O$36,$M$4:$M$36,$R4,$N$4:$N$36,$S4),"")</f>
        <v/>
      </c>
      <c r="U4" s="29">
        <f>COUNTIFS($M$4:$M$36,$R4,$N$4:$N$36,$S4)</f>
        <v>3</v>
      </c>
      <c r="W4" s="30" t="s">
        <v>7</v>
      </c>
      <c r="X4" s="43" t="str">
        <f ca="1">IFERROR(AVERAGEIF($R$4:$R$15,$W4,$T$4:$T$15),"")</f>
        <v/>
      </c>
      <c r="Y4" s="29" t="str">
        <f ca="1">IF($X4="","",IF(ROUND($X4,2)&lt;20,"Initial",IF(ROUND($X4,2)&lt;40,"Basique",IF(ROUND($X4,2)&lt;60,"Défini",IF(ROUND($X4,2)&lt;80,"Maîtrisé","Optimisé")))))</f>
        <v/>
      </c>
      <c r="Z4" s="29">
        <f ca="1">SUMIF($B$4:$B$134,$W4,$I$4:$I$134)</f>
      </c>
      <c r="AA4" s="29">
        <f ca="1">SUMIF($B$4:$B$134,$W4,$J$4:$J$134)</f>
      </c>
      <c r="AB4" s="31">
        <f ca="1">SUMIF($B$4:$B$134,$W4,$H$4:$H$134)</f>
      </c>
      <c r="AC4" s="29">
        <f ca="1">SUMIF($M$4:$M$36,$W4,$P$4:$P$36)</f>
      </c>
      <c r="AE4" s="29">
        <f ca="1">IF($H4=1,COUNTIF($H$4:$H4,1),"")</f>
      </c>
      <c r="AF4" s="29">
        <f ca="1">IF(AND($G4&lt;&gt;"",$G4&gt;0,$G4&lt;$AF$1),COUNTIFS($G$4:$G4,"&gt;0",$G$4:$G4,"&lt;"&amp;$AF$1),"")</f>
      </c>
    </row>
    <row r="5" spans="1:32" ht="15.75" x14ac:dyDescent="0.25">
      <c r="A5" s="37" t="str">
        <f>REFERENTIEL!E5</f>
        <v>SA-PRV-1.2</v>
      </c>
      <c r="B5" s="36" t="str">
        <f>REFERENTIEL!A5</f>
        <v>Santé</v>
      </c>
      <c r="C5" s="36" t="str">
        <f>REFERENTIEL!B5</f>
        <v>Prévention</v>
      </c>
      <c r="D5" s="36" t="str">
        <f>REFERENTIEL!C5</f>
        <v>SA-PRV-1</v>
      </c>
      <c r="E5" s="35" t="str">
        <f>REFERENTIEL!H5</f>
        <v>Binaire</v>
      </c>
      <c r="F5" s="35">
        <f>REFERENTIEL!J5</f>
        <v>1</v>
      </c>
      <c r="G5" s="41">
        <f ca="1">IF(SAISIE!$I20="","",IF($E5="Binaire",SAISIE!$I20*100,IF($E5="Maturité",(SAISIE!$I20-1)*25,IF(OR(SAISIE!$J20="",SAISIE!$J20=0),"",MIN(100,SAISIE!$I20*$F5/SAISIE!$J20*100)))))</f>
      </c>
      <c r="H5" s="39">
        <f t="shared" ref="H5:H68" ca="1" si="0">IF(AND($G5&lt;&gt;"",$G5=0),1,"")</f>
      </c>
      <c r="I5" s="35">
        <f ca="1">IF(SAISIE!$K20="NA",1,"")</f>
      </c>
      <c r="J5" s="35">
        <f ca="1">IF(AND(SAISIE!$K20&lt;&gt;"",SAISIE!$K20&lt;&gt;"OK",SAISIE!$K20&lt;&gt;"NA"),1,"")</f>
      </c>
      <c r="L5" s="37" t="str">
        <f>IFERROR(INDEX($D$4:$D$134,MATCH($L4,$D$4:$D$134,0)+COUNTIF($D$4:$D$134,$L4)),"")</f>
        <v>SA-PRV-2</v>
      </c>
      <c r="M5" s="36" t="str">
        <f t="shared" ref="M5:M36" si="1">IFERROR(INDEX($B$4:$B$134,MATCH($L5,$D$4:$D$134,0)),"")</f>
        <v>Santé</v>
      </c>
      <c r="N5" s="36" t="str">
        <f t="shared" ref="N5:N36" si="2">IFERROR(INDEX($C$4:$C$134,MATCH($L5,$D$4:$D$134,0)),"")</f>
        <v>Prévention</v>
      </c>
      <c r="O5" s="42" t="str">
        <f t="shared" ref="O5:O36" ca="1" si="3">IF($L5="","",IFERROR(AVERAGEIF($D$4:$D$134,$L5,$G$4:$G$134),""))</f>
        <v/>
      </c>
      <c r="P5" s="36">
        <f t="shared" ref="P5:P36" ca="1" si="4">IF($L5="","",IF(COUNTIF($D$4:$D$134,$L5)=SUMIF($D$4:$D$134,$L5,$I$4:$I$134),1,""))</f>
      </c>
      <c r="R5" s="30" t="s">
        <v>7</v>
      </c>
      <c r="S5" s="30" t="s">
        <v>50</v>
      </c>
      <c r="T5" s="44" t="str">
        <f t="shared" ref="T5:T15" ca="1" si="5">IFERROR(AVERAGEIFS($O$4:$O$36,$M$4:$M$36,$R5,$N$4:$N$36,$S5),"")</f>
        <v/>
      </c>
      <c r="U5" s="29">
        <f t="shared" ref="U5:U15" si="6">COUNTIFS($M$4:$M$36,$R5,$N$4:$N$36,$S5)</f>
        <v>2</v>
      </c>
      <c r="W5" s="30" t="s">
        <v>120</v>
      </c>
      <c r="X5" s="43" t="str">
        <f t="shared" ref="X5:X7" ca="1" si="7">IFERROR(AVERAGEIF($R$4:$R$15,$W5,$T$4:$T$15),"")</f>
        <v/>
      </c>
      <c r="Y5" s="29" t="str">
        <f t="shared" ref="Y5:Y7" ca="1" si="8">IF($X5="","",IF(ROUND($X5,2)&lt;20,"Initial",IF(ROUND($X5,2)&lt;40,"Basique",IF(ROUND($X5,2)&lt;60,"Défini",IF(ROUND($X5,2)&lt;80,"Maîtrisé","Optimisé")))))</f>
        <v/>
      </c>
      <c r="Z5" s="29">
        <f t="shared" ref="Z5:Z7" ca="1" si="9">SUMIF($B$4:$B$134,$W5,$I$4:$I$134)</f>
      </c>
      <c r="AA5" s="29">
        <f t="shared" ref="AA5:AA7" ca="1" si="10">SUMIF($B$4:$B$134,$W5,$J$4:$J$134)</f>
      </c>
      <c r="AB5" s="31">
        <f t="shared" ref="AB5:AB7" ca="1" si="11">SUMIF($B$4:$B$134,$W5,$H$4:$H$134)</f>
      </c>
      <c r="AC5" s="29">
        <f t="shared" ref="AC5:AC7" ca="1" si="12">SUMIF($M$4:$M$36,$W5,$P$4:$P$36)</f>
      </c>
      <c r="AE5" s="29">
        <f ca="1">IF($H5=1,COUNTIF($H$4:$H5,1),"")</f>
      </c>
      <c r="AF5" s="29">
        <f ca="1">IF(AND($G5&lt;&gt;"",$G5&gt;0,$G5&lt;$AF$1),COUNTIFS($G$4:$G5,"&gt;0",$G$4:$G5,"&lt;"&amp;$AF$1),"")</f>
      </c>
    </row>
    <row r="6" spans="1:32" ht="15.75" x14ac:dyDescent="0.25">
      <c r="A6" s="37" t="str">
        <f>REFERENTIEL!E6</f>
        <v>SA-PRV-1.3</v>
      </c>
      <c r="B6" s="36" t="str">
        <f>REFERENTIEL!A6</f>
        <v>Santé</v>
      </c>
      <c r="C6" s="36" t="str">
        <f>REFERENTIEL!B6</f>
        <v>Prévention</v>
      </c>
      <c r="D6" s="36" t="str">
        <f>REFERENTIEL!C6</f>
        <v>SA-PRV-1</v>
      </c>
      <c r="E6" s="35" t="str">
        <f>REFERENTIEL!H6</f>
        <v>Binaire</v>
      </c>
      <c r="F6" s="35">
        <f>REFERENTIEL!J6</f>
        <v>1</v>
      </c>
      <c r="G6" s="41">
        <f ca="1">IF(SAISIE!$I21="","",IF($E6="Binaire",SAISIE!$I21*100,IF($E6="Maturité",(SAISIE!$I21-1)*25,IF(OR(SAISIE!$J21="",SAISIE!$J21=0),"",MIN(100,SAISIE!$I21*$F6/SAISIE!$J21*100)))))</f>
      </c>
      <c r="H6" s="39">
        <f t="shared" ca="1" si="0"/>
      </c>
      <c r="I6" s="35">
        <f ca="1">IF(SAISIE!$K21="NA",1,"")</f>
      </c>
      <c r="J6" s="35">
        <f ca="1">IF(AND(SAISIE!$K21&lt;&gt;"",SAISIE!$K21&lt;&gt;"OK",SAISIE!$K21&lt;&gt;"NA"),1,"")</f>
      </c>
      <c r="L6" s="37" t="str">
        <f t="shared" ref="L6:L36" si="13">IFERROR(INDEX($D$4:$D$134,MATCH($L5,$D$4:$D$134,0)+COUNTIF($D$4:$D$134,$L5)),"")</f>
        <v>SA-PRV-3</v>
      </c>
      <c r="M6" s="36" t="str">
        <f t="shared" si="1"/>
        <v>Santé</v>
      </c>
      <c r="N6" s="36" t="str">
        <f t="shared" si="2"/>
        <v>Prévention</v>
      </c>
      <c r="O6" s="42" t="str">
        <f t="shared" ca="1" si="3"/>
        <v/>
      </c>
      <c r="P6" s="36">
        <f t="shared" ca="1" si="4"/>
      </c>
      <c r="R6" s="30" t="s">
        <v>7</v>
      </c>
      <c r="S6" s="30" t="s">
        <v>79</v>
      </c>
      <c r="T6" s="44" t="str">
        <f t="shared" ca="1" si="5"/>
        <v/>
      </c>
      <c r="U6" s="29">
        <f t="shared" si="6"/>
        <v>3</v>
      </c>
      <c r="W6" s="30" t="s">
        <v>246</v>
      </c>
      <c r="X6" s="43" t="str">
        <f t="shared" ca="1" si="7"/>
        <v/>
      </c>
      <c r="Y6" s="29" t="str">
        <f t="shared" ca="1" si="8"/>
        <v/>
      </c>
      <c r="Z6" s="29">
        <f t="shared" ca="1" si="9"/>
      </c>
      <c r="AA6" s="29">
        <f t="shared" ca="1" si="10"/>
      </c>
      <c r="AB6" s="31">
        <f t="shared" ca="1" si="11"/>
      </c>
      <c r="AC6" s="29">
        <f t="shared" ca="1" si="12"/>
      </c>
      <c r="AE6" s="29">
        <f ca="1">IF($H6=1,COUNTIF($H$4:$H6,1),"")</f>
      </c>
      <c r="AF6" s="29">
        <f ca="1">IF(AND($G6&lt;&gt;"",$G6&gt;0,$G6&lt;$AF$1),COUNTIFS($G$4:$G6,"&gt;0",$G$4:$G6,"&lt;"&amp;$AF$1),"")</f>
      </c>
    </row>
    <row r="7" spans="1:32" ht="15.75" x14ac:dyDescent="0.25">
      <c r="A7" s="37" t="str">
        <f>REFERENTIEL!E7</f>
        <v>SA-PRV-1.4</v>
      </c>
      <c r="B7" s="36" t="str">
        <f>REFERENTIEL!A7</f>
        <v>Santé</v>
      </c>
      <c r="C7" s="36" t="str">
        <f>REFERENTIEL!B7</f>
        <v>Prévention</v>
      </c>
      <c r="D7" s="36" t="str">
        <f>REFERENTIEL!C7</f>
        <v>SA-PRV-1</v>
      </c>
      <c r="E7" s="35" t="str">
        <f>REFERENTIEL!H7</f>
        <v>Binaire</v>
      </c>
      <c r="F7" s="35">
        <f>REFERENTIEL!J7</f>
        <v>1</v>
      </c>
      <c r="G7" s="41">
        <f ca="1">IF(SAISIE!$I22="","",IF($E7="Binaire",SAISIE!$I22*100,IF($E7="Maturité",(SAISIE!$I22-1)*25,IF(OR(SAISIE!$J22="",SAISIE!$J22=0),"",MIN(100,SAISIE!$I22*$F7/SAISIE!$J22*100)))))</f>
      </c>
      <c r="H7" s="39">
        <f t="shared" ca="1" si="0"/>
      </c>
      <c r="I7" s="35">
        <f ca="1">IF(SAISIE!$K22="NA",1,"")</f>
      </c>
      <c r="J7" s="35">
        <f ca="1">IF(AND(SAISIE!$K22&lt;&gt;"",SAISIE!$K22&lt;&gt;"OK",SAISIE!$K22&lt;&gt;"NA"),1,"")</f>
      </c>
      <c r="L7" s="37" t="str">
        <f t="shared" si="13"/>
        <v>SA-PRT-1</v>
      </c>
      <c r="M7" s="36" t="str">
        <f t="shared" si="1"/>
        <v>Santé</v>
      </c>
      <c r="N7" s="37" t="str">
        <f t="shared" si="2"/>
        <v>Protection</v>
      </c>
      <c r="O7" s="42" t="str">
        <f t="shared" ca="1" si="3"/>
        <v/>
      </c>
      <c r="P7" s="36">
        <f t="shared" ca="1" si="4"/>
      </c>
      <c r="R7" s="30" t="s">
        <v>120</v>
      </c>
      <c r="S7" s="30" t="s">
        <v>8</v>
      </c>
      <c r="T7" s="44" t="str">
        <f t="shared" ca="1" si="5"/>
        <v/>
      </c>
      <c r="U7" s="29">
        <f t="shared" si="6"/>
        <v>3</v>
      </c>
      <c r="W7" s="30" t="s">
        <v>358</v>
      </c>
      <c r="X7" s="43" t="str">
        <f t="shared" ca="1" si="7"/>
        <v/>
      </c>
      <c r="Y7" s="29" t="str">
        <f t="shared" ca="1" si="8"/>
        <v/>
      </c>
      <c r="Z7" s="29">
        <f t="shared" ca="1" si="9"/>
      </c>
      <c r="AA7" s="29">
        <f t="shared" ca="1" si="10"/>
      </c>
      <c r="AB7" s="31">
        <f t="shared" ca="1" si="11"/>
      </c>
      <c r="AC7" s="29">
        <f t="shared" ca="1" si="12"/>
      </c>
      <c r="AE7" s="29">
        <f ca="1">IF($H7=1,COUNTIF($H$4:$H7,1),"")</f>
      </c>
      <c r="AF7" s="29">
        <f ca="1">IF(AND($G7&lt;&gt;"",$G7&gt;0,$G7&lt;$AF$1),COUNTIFS($G$4:$G7,"&gt;0",$G$4:$G7,"&lt;"&amp;$AF$1),"")</f>
      </c>
    </row>
    <row r="8" spans="1:32" ht="15.75" x14ac:dyDescent="0.25">
      <c r="A8" s="37" t="str">
        <f>REFERENTIEL!E8</f>
        <v>SA-PRV-2.1</v>
      </c>
      <c r="B8" s="36" t="str">
        <f>REFERENTIEL!A8</f>
        <v>Santé</v>
      </c>
      <c r="C8" s="36" t="str">
        <f>REFERENTIEL!B8</f>
        <v>Prévention</v>
      </c>
      <c r="D8" s="36" t="str">
        <f>REFERENTIEL!C8</f>
        <v>SA-PRV-2</v>
      </c>
      <c r="E8" s="35" t="str">
        <f>REFERENTIEL!H8</f>
        <v>Binaire</v>
      </c>
      <c r="F8" s="35">
        <f>REFERENTIEL!J8</f>
        <v>1</v>
      </c>
      <c r="G8" s="41">
        <f ca="1">IF(SAISIE!$I23="","",IF($E8="Binaire",SAISIE!$I23*100,IF($E8="Maturité",(SAISIE!$I23-1)*25,IF(OR(SAISIE!$J23="",SAISIE!$J23=0),"",MIN(100,SAISIE!$I23*$F8/SAISIE!$J23*100)))))</f>
      </c>
      <c r="H8" s="39">
        <f t="shared" ca="1" si="0"/>
      </c>
      <c r="I8" s="35">
        <f ca="1">IF(SAISIE!$K23="NA",1,"")</f>
      </c>
      <c r="J8" s="35">
        <f ca="1">IF(AND(SAISIE!$K23&lt;&gt;"",SAISIE!$K23&lt;&gt;"OK",SAISIE!$K23&lt;&gt;"NA"),1,"")</f>
      </c>
      <c r="L8" s="37" t="str">
        <f t="shared" si="13"/>
        <v>SA-PRT-2</v>
      </c>
      <c r="M8" s="36" t="str">
        <f t="shared" si="1"/>
        <v>Santé</v>
      </c>
      <c r="N8" s="36" t="str">
        <f t="shared" si="2"/>
        <v>Protection</v>
      </c>
      <c r="O8" s="42" t="str">
        <f t="shared" ca="1" si="3"/>
        <v/>
      </c>
      <c r="P8" s="36">
        <f t="shared" ca="1" si="4"/>
      </c>
      <c r="R8" s="30" t="s">
        <v>120</v>
      </c>
      <c r="S8" s="30" t="s">
        <v>50</v>
      </c>
      <c r="T8" s="44" t="str">
        <f t="shared" ca="1" si="5"/>
        <v/>
      </c>
      <c r="U8" s="29">
        <f t="shared" si="6"/>
        <v>3</v>
      </c>
      <c r="W8" s="4"/>
      <c r="X8" s="4"/>
      <c r="Y8" s="4"/>
      <c r="Z8" s="4"/>
      <c r="AA8" s="4"/>
      <c r="AB8" s="4"/>
      <c r="AC8" s="4"/>
      <c r="AE8" s="29">
        <f ca="1">IF($H8=1,COUNTIF($H$4:$H8,1),"")</f>
      </c>
      <c r="AF8" s="29">
        <f ca="1">IF(AND($G8&lt;&gt;"",$G8&gt;0,$G8&lt;$AF$1),COUNTIFS($G$4:$G8,"&gt;0",$G$4:$G8,"&lt;"&amp;$AF$1),"")</f>
      </c>
    </row>
    <row r="9" spans="1:32" ht="15.75" x14ac:dyDescent="0.25">
      <c r="A9" s="38" t="str">
        <f>REFERENTIEL!E9</f>
        <v>SA-PRV-2.2</v>
      </c>
      <c r="B9" s="35" t="str">
        <f>REFERENTIEL!A9</f>
        <v>Santé</v>
      </c>
      <c r="C9" s="35" t="str">
        <f>REFERENTIEL!B9</f>
        <v>Prévention</v>
      </c>
      <c r="D9" s="35" t="str">
        <f>REFERENTIEL!C9</f>
        <v>SA-PRV-2</v>
      </c>
      <c r="E9" s="35" t="str">
        <f>REFERENTIEL!H9</f>
        <v>Binaire</v>
      </c>
      <c r="F9" s="35">
        <f>REFERENTIEL!J9</f>
        <v>1</v>
      </c>
      <c r="G9" s="41">
        <f ca="1">IF(SAISIE!$I24="","",IF($E9="Binaire",SAISIE!$I24*100,IF($E9="Maturité",(SAISIE!$I24-1)*25,IF(OR(SAISIE!$J24="",SAISIE!$J24=0),"",MIN(100,SAISIE!$I24*$F9/SAISIE!$J24*100)))))</f>
      </c>
      <c r="H9" s="39">
        <f t="shared" ca="1" si="0"/>
      </c>
      <c r="I9" s="35">
        <f ca="1">IF(SAISIE!$K24="NA",1,"")</f>
      </c>
      <c r="J9" s="35">
        <f ca="1">IF(AND(SAISIE!$K24&lt;&gt;"",SAISIE!$K24&lt;&gt;"OK",SAISIE!$K24&lt;&gt;"NA"),1,"")</f>
      </c>
      <c r="L9" s="37" t="str">
        <f t="shared" si="13"/>
        <v>SA-CNF-1</v>
      </c>
      <c r="M9" s="36" t="str">
        <f t="shared" si="1"/>
        <v>Santé</v>
      </c>
      <c r="N9" s="37" t="str">
        <f t="shared" si="2"/>
        <v>Conformité</v>
      </c>
      <c r="O9" s="42" t="str">
        <f t="shared" ca="1" si="3"/>
        <v/>
      </c>
      <c r="P9" s="36">
        <f t="shared" ca="1" si="4"/>
      </c>
      <c r="R9" s="30" t="s">
        <v>120</v>
      </c>
      <c r="S9" s="30" t="s">
        <v>79</v>
      </c>
      <c r="T9" s="44" t="str">
        <f t="shared" ca="1" si="5"/>
        <v/>
      </c>
      <c r="U9" s="29">
        <f t="shared" si="6"/>
        <v>3</v>
      </c>
      <c r="W9" s="30" t="s">
        <v>535</v>
      </c>
      <c r="X9" s="29"/>
      <c r="Y9" s="29"/>
      <c r="Z9" s="29">
        <f ca="1">SUM(Z4:Z7)</f>
      </c>
      <c r="AA9" s="29">
        <f ca="1">SUM(AA4:AA7)</f>
      </c>
      <c r="AB9" s="29">
        <f ca="1">SUM(AB4:AB7)</f>
      </c>
      <c r="AC9" s="29">
        <f ca="1">SUM(AC4:AC7)</f>
      </c>
      <c r="AE9" s="29">
        <f ca="1">IF($H9=1,COUNTIF($H$4:$H9,1),"")</f>
      </c>
      <c r="AF9" s="29">
        <f ca="1">IF(AND($G9&lt;&gt;"",$G9&gt;0,$G9&lt;$AF$1),COUNTIFS($G$4:$G9,"&gt;0",$G$4:$G9,"&lt;"&amp;$AF$1),"")</f>
      </c>
    </row>
    <row r="10" spans="1:32" ht="15.75" x14ac:dyDescent="0.25">
      <c r="A10" s="38" t="str">
        <f>REFERENTIEL!E10</f>
        <v>SA-PRV-2.3</v>
      </c>
      <c r="B10" s="35" t="str">
        <f>REFERENTIEL!A10</f>
        <v>Santé</v>
      </c>
      <c r="C10" s="35" t="str">
        <f>REFERENTIEL!B10</f>
        <v>Prévention</v>
      </c>
      <c r="D10" s="35" t="str">
        <f>REFERENTIEL!C10</f>
        <v>SA-PRV-2</v>
      </c>
      <c r="E10" s="35" t="str">
        <f>REFERENTIEL!H10</f>
        <v>Binaire</v>
      </c>
      <c r="F10" s="35">
        <f>REFERENTIEL!J10</f>
        <v>1</v>
      </c>
      <c r="G10" s="41">
        <f ca="1">IF(SAISIE!$I25="","",IF($E10="Binaire",SAISIE!$I25*100,IF($E10="Maturité",(SAISIE!$I25-1)*25,IF(OR(SAISIE!$J25="",SAISIE!$J25=0),"",MIN(100,SAISIE!$I25*$F10/SAISIE!$J25*100)))))</f>
      </c>
      <c r="H10" s="39">
        <f t="shared" ca="1" si="0"/>
      </c>
      <c r="I10" s="35">
        <f ca="1">IF(SAISIE!$K25="NA",1,"")</f>
      </c>
      <c r="J10" s="35">
        <f ca="1">IF(AND(SAISIE!$K25&lt;&gt;"",SAISIE!$K25&lt;&gt;"OK",SAISIE!$K25&lt;&gt;"NA"),1,"")</f>
      </c>
      <c r="L10" s="37" t="str">
        <f t="shared" si="13"/>
        <v>SA-CNF-2</v>
      </c>
      <c r="M10" s="36" t="str">
        <f t="shared" si="1"/>
        <v>Santé</v>
      </c>
      <c r="N10" s="36" t="str">
        <f t="shared" si="2"/>
        <v>Conformité</v>
      </c>
      <c r="O10" s="42" t="str">
        <f t="shared" ca="1" si="3"/>
        <v/>
      </c>
      <c r="P10" s="36">
        <f t="shared" ca="1" si="4"/>
      </c>
      <c r="R10" s="30" t="s">
        <v>246</v>
      </c>
      <c r="S10" s="30" t="s">
        <v>8</v>
      </c>
      <c r="T10" s="44" t="str">
        <f t="shared" ca="1" si="5"/>
        <v/>
      </c>
      <c r="U10" s="29">
        <f t="shared" si="6"/>
        <v>3</v>
      </c>
      <c r="W10" s="30" t="s">
        <v>536</v>
      </c>
      <c r="X10" s="44">
        <f ca="1">COUNT($G$4:$G$134)+Z9+AA9</f>
      </c>
      <c r="Y10" s="29"/>
      <c r="Z10" s="29"/>
      <c r="AA10" s="29"/>
      <c r="AB10" s="29"/>
      <c r="AC10" s="29"/>
      <c r="AE10" s="29">
        <f ca="1">IF($H10=1,COUNTIF($H$4:$H10,1),"")</f>
      </c>
      <c r="AF10" s="29">
        <f ca="1">IF(AND($G10&lt;&gt;"",$G10&gt;0,$G10&lt;$AF$1),COUNTIFS($G$4:$G10,"&gt;0",$G$4:$G10,"&lt;"&amp;$AF$1),"")</f>
      </c>
    </row>
    <row r="11" spans="1:32" ht="15.75" x14ac:dyDescent="0.25">
      <c r="A11" s="38" t="str">
        <f>REFERENTIEL!E11</f>
        <v>SA-PRV-2.4</v>
      </c>
      <c r="B11" s="35" t="str">
        <f>REFERENTIEL!A11</f>
        <v>Santé</v>
      </c>
      <c r="C11" s="35" t="str">
        <f>REFERENTIEL!B11</f>
        <v>Prévention</v>
      </c>
      <c r="D11" s="35" t="str">
        <f>REFERENTIEL!C11</f>
        <v>SA-PRV-2</v>
      </c>
      <c r="E11" s="35" t="str">
        <f>REFERENTIEL!H11</f>
        <v>Binaire</v>
      </c>
      <c r="F11" s="35">
        <f>REFERENTIEL!J11</f>
        <v>1</v>
      </c>
      <c r="G11" s="41">
        <f ca="1">IF(SAISIE!$I26="","",IF($E11="Binaire",SAISIE!$I26*100,IF($E11="Maturité",(SAISIE!$I26-1)*25,IF(OR(SAISIE!$J26="",SAISIE!$J26=0),"",MIN(100,SAISIE!$I26*$F11/SAISIE!$J26*100)))))</f>
      </c>
      <c r="H11" s="39">
        <f t="shared" ca="1" si="0"/>
      </c>
      <c r="I11" s="35">
        <f ca="1">IF(SAISIE!$K26="NA",1,"")</f>
      </c>
      <c r="J11" s="35">
        <f ca="1">IF(AND(SAISIE!$K26&lt;&gt;"",SAISIE!$K26&lt;&gt;"OK",SAISIE!$K26&lt;&gt;"NA"),1,"")</f>
      </c>
      <c r="L11" s="37" t="str">
        <f t="shared" si="13"/>
        <v>SA-CNF-3</v>
      </c>
      <c r="M11" s="36" t="str">
        <f t="shared" si="1"/>
        <v>Santé</v>
      </c>
      <c r="N11" s="36" t="str">
        <f t="shared" si="2"/>
        <v>Conformité</v>
      </c>
      <c r="O11" s="42" t="str">
        <f t="shared" ca="1" si="3"/>
        <v/>
      </c>
      <c r="P11" s="36">
        <f t="shared" ca="1" si="4"/>
      </c>
      <c r="R11" s="30" t="s">
        <v>246</v>
      </c>
      <c r="S11" s="30" t="s">
        <v>50</v>
      </c>
      <c r="T11" s="44" t="str">
        <f t="shared" ca="1" si="5"/>
        <v/>
      </c>
      <c r="U11" s="29">
        <f t="shared" si="6"/>
        <v>2</v>
      </c>
      <c r="AE11" s="29">
        <f ca="1">IF($H11=1,COUNTIF($H$4:$H11,1),"")</f>
      </c>
      <c r="AF11" s="29">
        <f ca="1">IF(AND($G11&lt;&gt;"",$G11&gt;0,$G11&lt;$AF$1),COUNTIFS($G$4:$G11,"&gt;0",$G$4:$G11,"&lt;"&amp;$AF$1),"")</f>
      </c>
    </row>
    <row r="12" spans="1:32" ht="15.75" x14ac:dyDescent="0.25">
      <c r="A12" s="38" t="str">
        <f>REFERENTIEL!E12</f>
        <v>SA-PRV-3.1</v>
      </c>
      <c r="B12" s="35" t="str">
        <f>REFERENTIEL!A12</f>
        <v>Santé</v>
      </c>
      <c r="C12" s="35" t="str">
        <f>REFERENTIEL!B12</f>
        <v>Prévention</v>
      </c>
      <c r="D12" s="35" t="str">
        <f>REFERENTIEL!C12</f>
        <v>SA-PRV-3</v>
      </c>
      <c r="E12" s="35" t="str">
        <f>REFERENTIEL!H12</f>
        <v>Binaire</v>
      </c>
      <c r="F12" s="35">
        <f>REFERENTIEL!J12</f>
        <v>1</v>
      </c>
      <c r="G12" s="41">
        <f ca="1">IF(SAISIE!$I27="","",IF($E12="Binaire",SAISIE!$I27*100,IF($E12="Maturité",(SAISIE!$I27-1)*25,IF(OR(SAISIE!$J27="",SAISIE!$J27=0),"",MIN(100,SAISIE!$I27*$F12/SAISIE!$J27*100)))))</f>
      </c>
      <c r="H12" s="39">
        <f t="shared" ca="1" si="0"/>
      </c>
      <c r="I12" s="35">
        <f ca="1">IF(SAISIE!$K27="NA",1,"")</f>
      </c>
      <c r="J12" s="35">
        <f ca="1">IF(AND(SAISIE!$K27&lt;&gt;"",SAISIE!$K27&lt;&gt;"OK",SAISIE!$K27&lt;&gt;"NA"),1,"")</f>
      </c>
      <c r="L12" s="37" t="str">
        <f t="shared" si="13"/>
        <v>SE-PRV-1</v>
      </c>
      <c r="M12" s="37" t="str">
        <f t="shared" si="1"/>
        <v>Sécurité</v>
      </c>
      <c r="N12" s="37" t="str">
        <f t="shared" si="2"/>
        <v>Prévention</v>
      </c>
      <c r="O12" s="42" t="str">
        <f t="shared" ca="1" si="3"/>
        <v/>
      </c>
      <c r="P12" s="36">
        <f t="shared" ca="1" si="4"/>
      </c>
      <c r="R12" s="30" t="s">
        <v>246</v>
      </c>
      <c r="S12" s="30" t="s">
        <v>79</v>
      </c>
      <c r="T12" s="44" t="str">
        <f t="shared" ca="1" si="5"/>
        <v/>
      </c>
      <c r="U12" s="29">
        <f t="shared" si="6"/>
        <v>3</v>
      </c>
      <c r="AE12" s="29">
        <f ca="1">IF($H12=1,COUNTIF($H$4:$H12,1),"")</f>
      </c>
      <c r="AF12" s="29">
        <f ca="1">IF(AND($G12&lt;&gt;"",$G12&gt;0,$G12&lt;$AF$1),COUNTIFS($G$4:$G12,"&gt;0",$G$4:$G12,"&lt;"&amp;$AF$1),"")</f>
      </c>
    </row>
    <row r="13" spans="1:32" ht="15.75" x14ac:dyDescent="0.25">
      <c r="A13" s="38" t="str">
        <f>REFERENTIEL!E13</f>
        <v>SA-PRV-3.2</v>
      </c>
      <c r="B13" s="35" t="str">
        <f>REFERENTIEL!A13</f>
        <v>Santé</v>
      </c>
      <c r="C13" s="35" t="str">
        <f>REFERENTIEL!B13</f>
        <v>Prévention</v>
      </c>
      <c r="D13" s="35" t="str">
        <f>REFERENTIEL!C13</f>
        <v>SA-PRV-3</v>
      </c>
      <c r="E13" s="35" t="str">
        <f>REFERENTIEL!H13</f>
        <v>Binaire</v>
      </c>
      <c r="F13" s="35">
        <f>REFERENTIEL!J13</f>
        <v>1</v>
      </c>
      <c r="G13" s="41">
        <f ca="1">IF(SAISIE!$I28="","",IF($E13="Binaire",SAISIE!$I28*100,IF($E13="Maturité",(SAISIE!$I28-1)*25,IF(OR(SAISIE!$J28="",SAISIE!$J28=0),"",MIN(100,SAISIE!$I28*$F13/SAISIE!$J28*100)))))</f>
      </c>
      <c r="H13" s="39">
        <f t="shared" ca="1" si="0"/>
      </c>
      <c r="I13" s="35">
        <f ca="1">IF(SAISIE!$K28="NA",1,"")</f>
      </c>
      <c r="J13" s="35">
        <f ca="1">IF(AND(SAISIE!$K28&lt;&gt;"",SAISIE!$K28&lt;&gt;"OK",SAISIE!$K28&lt;&gt;"NA"),1,"")</f>
      </c>
      <c r="L13" s="37" t="str">
        <f t="shared" si="13"/>
        <v>SE-PRV-2</v>
      </c>
      <c r="M13" s="36" t="str">
        <f t="shared" si="1"/>
        <v>Sécurité</v>
      </c>
      <c r="N13" s="36" t="str">
        <f t="shared" si="2"/>
        <v>Prévention</v>
      </c>
      <c r="O13" s="42" t="str">
        <f t="shared" ca="1" si="3"/>
        <v/>
      </c>
      <c r="P13" s="36">
        <f t="shared" ca="1" si="4"/>
      </c>
      <c r="R13" s="30" t="s">
        <v>358</v>
      </c>
      <c r="S13" s="30" t="s">
        <v>8</v>
      </c>
      <c r="T13" s="44" t="str">
        <f t="shared" ca="1" si="5"/>
        <v/>
      </c>
      <c r="U13" s="29">
        <f t="shared" si="6"/>
        <v>2</v>
      </c>
      <c r="AE13" s="29">
        <f ca="1">IF($H13=1,COUNTIF($H$4:$H13,1),"")</f>
      </c>
      <c r="AF13" s="29">
        <f ca="1">IF(AND($G13&lt;&gt;"",$G13&gt;0,$G13&lt;$AF$1),COUNTIFS($G$4:$G13,"&gt;0",$G$4:$G13,"&lt;"&amp;$AF$1),"")</f>
      </c>
    </row>
    <row r="14" spans="1:32" ht="15.75" x14ac:dyDescent="0.25">
      <c r="A14" s="38" t="str">
        <f>REFERENTIEL!E14</f>
        <v>SA-PRV-3.3</v>
      </c>
      <c r="B14" s="35" t="str">
        <f>REFERENTIEL!A14</f>
        <v>Santé</v>
      </c>
      <c r="C14" s="35" t="str">
        <f>REFERENTIEL!B14</f>
        <v>Prévention</v>
      </c>
      <c r="D14" s="35" t="str">
        <f>REFERENTIEL!C14</f>
        <v>SA-PRV-3</v>
      </c>
      <c r="E14" s="35" t="str">
        <f>REFERENTIEL!H14</f>
        <v>Taux</v>
      </c>
      <c r="F14" s="35">
        <f>REFERENTIEL!J14</f>
        <v>1</v>
      </c>
      <c r="G14" s="41">
        <f ca="1">IF(SAISIE!$I29="","",IF($E14="Binaire",SAISIE!$I29*100,IF($E14="Maturité",(SAISIE!$I29-1)*25,IF(OR(SAISIE!$J29="",SAISIE!$J29=0),"",MIN(100,SAISIE!$I29*$F14/SAISIE!$J29*100)))))</f>
      </c>
      <c r="H14" s="39">
        <f t="shared" ca="1" si="0"/>
      </c>
      <c r="I14" s="35">
        <f ca="1">IF(SAISIE!$K29="NA",1,"")</f>
      </c>
      <c r="J14" s="35">
        <f ca="1">IF(AND(SAISIE!$K29&lt;&gt;"",SAISIE!$K29&lt;&gt;"OK",SAISIE!$K29&lt;&gt;"NA"),1,"")</f>
      </c>
      <c r="L14" s="37" t="str">
        <f t="shared" si="13"/>
        <v>SE-PRV-3</v>
      </c>
      <c r="M14" s="36" t="str">
        <f t="shared" si="1"/>
        <v>Sécurité</v>
      </c>
      <c r="N14" s="36" t="str">
        <f t="shared" si="2"/>
        <v>Prévention</v>
      </c>
      <c r="O14" s="42" t="str">
        <f t="shared" ca="1" si="3"/>
        <v/>
      </c>
      <c r="P14" s="36">
        <f t="shared" ca="1" si="4"/>
      </c>
      <c r="R14" s="30" t="s">
        <v>358</v>
      </c>
      <c r="S14" s="30" t="s">
        <v>50</v>
      </c>
      <c r="T14" s="44" t="str">
        <f t="shared" ca="1" si="5"/>
        <v/>
      </c>
      <c r="U14" s="29">
        <f t="shared" si="6"/>
        <v>3</v>
      </c>
      <c r="AE14" s="29">
        <f ca="1">IF($H14=1,COUNTIF($H$4:$H14,1),"")</f>
      </c>
      <c r="AF14" s="29">
        <f ca="1">IF(AND($G14&lt;&gt;"",$G14&gt;0,$G14&lt;$AF$1),COUNTIFS($G$4:$G14,"&gt;0",$G$4:$G14,"&lt;"&amp;$AF$1),"")</f>
      </c>
    </row>
    <row r="15" spans="1:32" ht="15.75" x14ac:dyDescent="0.25">
      <c r="A15" s="38" t="str">
        <f>REFERENTIEL!E15</f>
        <v>SA-PRV-3.4</v>
      </c>
      <c r="B15" s="35" t="str">
        <f>REFERENTIEL!A15</f>
        <v>Santé</v>
      </c>
      <c r="C15" s="35" t="str">
        <f>REFERENTIEL!B15</f>
        <v>Prévention</v>
      </c>
      <c r="D15" s="35" t="str">
        <f>REFERENTIEL!C15</f>
        <v>SA-PRV-3</v>
      </c>
      <c r="E15" s="35" t="str">
        <f>REFERENTIEL!H15</f>
        <v>Binaire</v>
      </c>
      <c r="F15" s="35">
        <f>REFERENTIEL!J15</f>
        <v>1</v>
      </c>
      <c r="G15" s="41">
        <f ca="1">IF(SAISIE!$I30="","",IF($E15="Binaire",SAISIE!$I30*100,IF($E15="Maturité",(SAISIE!$I30-1)*25,IF(OR(SAISIE!$J30="",SAISIE!$J30=0),"",MIN(100,SAISIE!$I30*$F15/SAISIE!$J30*100)))))</f>
      </c>
      <c r="H15" s="39">
        <f t="shared" ca="1" si="0"/>
      </c>
      <c r="I15" s="35">
        <f ca="1">IF(SAISIE!$K30="NA",1,"")</f>
      </c>
      <c r="J15" s="35">
        <f ca="1">IF(AND(SAISIE!$K30&lt;&gt;"",SAISIE!$K30&lt;&gt;"OK",SAISIE!$K30&lt;&gt;"NA"),1,"")</f>
      </c>
      <c r="L15" s="37" t="str">
        <f t="shared" si="13"/>
        <v>SE-PRT-1</v>
      </c>
      <c r="M15" s="36" t="str">
        <f t="shared" si="1"/>
        <v>Sécurité</v>
      </c>
      <c r="N15" s="37" t="str">
        <f t="shared" si="2"/>
        <v>Protection</v>
      </c>
      <c r="O15" s="42" t="str">
        <f t="shared" ca="1" si="3"/>
        <v/>
      </c>
      <c r="P15" s="36">
        <f t="shared" ca="1" si="4"/>
      </c>
      <c r="R15" s="30" t="s">
        <v>358</v>
      </c>
      <c r="S15" s="30" t="s">
        <v>79</v>
      </c>
      <c r="T15" s="44" t="str">
        <f t="shared" ca="1" si="5"/>
        <v/>
      </c>
      <c r="U15" s="29">
        <f t="shared" si="6"/>
        <v>3</v>
      </c>
      <c r="AE15" s="29">
        <f ca="1">IF($H15=1,COUNTIF($H$4:$H15,1),"")</f>
      </c>
      <c r="AF15" s="29">
        <f ca="1">IF(AND($G15&lt;&gt;"",$G15&gt;0,$G15&lt;$AF$1),COUNTIFS($G$4:$G15,"&gt;0",$G$4:$G15,"&lt;"&amp;$AF$1),"")</f>
      </c>
    </row>
    <row r="16" spans="1:32" ht="15.75" x14ac:dyDescent="0.25">
      <c r="A16" s="38" t="str">
        <f>REFERENTIEL!E16</f>
        <v>SA-PRT-1.1</v>
      </c>
      <c r="B16" s="35" t="str">
        <f>REFERENTIEL!A16</f>
        <v>Santé</v>
      </c>
      <c r="C16" s="38" t="str">
        <f>REFERENTIEL!B16</f>
        <v>Protection</v>
      </c>
      <c r="D16" s="35" t="str">
        <f>REFERENTIEL!C16</f>
        <v>SA-PRT-1</v>
      </c>
      <c r="E16" s="35" t="str">
        <f>REFERENTIEL!H16</f>
        <v>Maturité</v>
      </c>
      <c r="F16" s="35">
        <f>REFERENTIEL!J16</f>
        <v>1</v>
      </c>
      <c r="G16" s="41">
        <f ca="1">IF(SAISIE!$I31="","",IF($E16="Binaire",SAISIE!$I31*100,IF($E16="Maturité",(SAISIE!$I31-1)*25,IF(OR(SAISIE!$J31="",SAISIE!$J31=0),"",MIN(100,SAISIE!$I31*$F16/SAISIE!$J31*100)))))</f>
      </c>
      <c r="H16" s="39">
        <f t="shared" ca="1" si="0"/>
      </c>
      <c r="I16" s="35">
        <f ca="1">IF(SAISIE!$K31="NA",1,"")</f>
      </c>
      <c r="J16" s="35">
        <f ca="1">IF(AND(SAISIE!$K31&lt;&gt;"",SAISIE!$K31&lt;&gt;"OK",SAISIE!$K31&lt;&gt;"NA"),1,"")</f>
      </c>
      <c r="L16" s="37" t="str">
        <f t="shared" si="13"/>
        <v>SE-PRT-2</v>
      </c>
      <c r="M16" s="36" t="str">
        <f t="shared" si="1"/>
        <v>Sécurité</v>
      </c>
      <c r="N16" s="36" t="str">
        <f t="shared" si="2"/>
        <v>Protection</v>
      </c>
      <c r="O16" s="42" t="str">
        <f t="shared" ca="1" si="3"/>
        <v/>
      </c>
      <c r="P16" s="36">
        <f t="shared" ca="1" si="4"/>
      </c>
      <c r="AE16" s="29">
        <f ca="1">IF($H16=1,COUNTIF($H$4:$H16,1),"")</f>
      </c>
      <c r="AF16" s="29">
        <f ca="1">IF(AND($G16&lt;&gt;"",$G16&gt;0,$G16&lt;$AF$1),COUNTIFS($G$4:$G16,"&gt;0",$G$4:$G16,"&lt;"&amp;$AF$1),"")</f>
      </c>
    </row>
    <row r="17" spans="1:32" ht="15.75" x14ac:dyDescent="0.25">
      <c r="A17" s="38" t="str">
        <f>REFERENTIEL!E17</f>
        <v>SA-PRT-1.2</v>
      </c>
      <c r="B17" s="35" t="str">
        <f>REFERENTIEL!A17</f>
        <v>Santé</v>
      </c>
      <c r="C17" s="35" t="str">
        <f>REFERENTIEL!B17</f>
        <v>Protection</v>
      </c>
      <c r="D17" s="35" t="str">
        <f>REFERENTIEL!C17</f>
        <v>SA-PRT-1</v>
      </c>
      <c r="E17" s="35" t="str">
        <f>REFERENTIEL!H17</f>
        <v>Maturité</v>
      </c>
      <c r="F17" s="35">
        <f>REFERENTIEL!J17</f>
        <v>1</v>
      </c>
      <c r="G17" s="41">
        <f ca="1">IF(SAISIE!$I32="","",IF($E17="Binaire",SAISIE!$I32*100,IF($E17="Maturité",(SAISIE!$I32-1)*25,IF(OR(SAISIE!$J32="",SAISIE!$J32=0),"",MIN(100,SAISIE!$I32*$F17/SAISIE!$J32*100)))))</f>
      </c>
      <c r="H17" s="39">
        <f t="shared" ca="1" si="0"/>
      </c>
      <c r="I17" s="35">
        <f ca="1">IF(SAISIE!$K32="NA",1,"")</f>
      </c>
      <c r="J17" s="35">
        <f ca="1">IF(AND(SAISIE!$K32&lt;&gt;"",SAISIE!$K32&lt;&gt;"OK",SAISIE!$K32&lt;&gt;"NA"),1,"")</f>
      </c>
      <c r="L17" s="37" t="str">
        <f t="shared" si="13"/>
        <v>SE-PRT-3</v>
      </c>
      <c r="M17" s="36" t="str">
        <f t="shared" si="1"/>
        <v>Sécurité</v>
      </c>
      <c r="N17" s="36" t="str">
        <f t="shared" si="2"/>
        <v>Protection</v>
      </c>
      <c r="O17" s="42" t="str">
        <f t="shared" ca="1" si="3"/>
        <v/>
      </c>
      <c r="P17" s="36">
        <f t="shared" ca="1" si="4"/>
      </c>
      <c r="AE17" s="29">
        <f ca="1">IF($H17=1,COUNTIF($H$4:$H17,1),"")</f>
      </c>
      <c r="AF17" s="29">
        <f ca="1">IF(AND($G17&lt;&gt;"",$G17&gt;0,$G17&lt;$AF$1),COUNTIFS($G$4:$G17,"&gt;0",$G$4:$G17,"&lt;"&amp;$AF$1),"")</f>
      </c>
    </row>
    <row r="18" spans="1:32" ht="15.75" x14ac:dyDescent="0.25">
      <c r="A18" s="38" t="str">
        <f>REFERENTIEL!E18</f>
        <v>SA-PRT-1.3</v>
      </c>
      <c r="B18" s="35" t="str">
        <f>REFERENTIEL!A18</f>
        <v>Santé</v>
      </c>
      <c r="C18" s="35" t="str">
        <f>REFERENTIEL!B18</f>
        <v>Protection</v>
      </c>
      <c r="D18" s="35" t="str">
        <f>REFERENTIEL!C18</f>
        <v>SA-PRT-1</v>
      </c>
      <c r="E18" s="35" t="str">
        <f>REFERENTIEL!H18</f>
        <v>Maturité</v>
      </c>
      <c r="F18" s="35">
        <f>REFERENTIEL!J18</f>
        <v>1</v>
      </c>
      <c r="G18" s="41">
        <f ca="1">IF(SAISIE!$I33="","",IF($E18="Binaire",SAISIE!$I33*100,IF($E18="Maturité",(SAISIE!$I33-1)*25,IF(OR(SAISIE!$J33="",SAISIE!$J33=0),"",MIN(100,SAISIE!$I33*$F18/SAISIE!$J33*100)))))</f>
      </c>
      <c r="H18" s="39">
        <f t="shared" ca="1" si="0"/>
      </c>
      <c r="I18" s="35">
        <f ca="1">IF(SAISIE!$K33="NA",1,"")</f>
      </c>
      <c r="J18" s="35">
        <f ca="1">IF(AND(SAISIE!$K33&lt;&gt;"",SAISIE!$K33&lt;&gt;"OK",SAISIE!$K33&lt;&gt;"NA"),1,"")</f>
      </c>
      <c r="L18" s="37" t="str">
        <f t="shared" si="13"/>
        <v>SE-CNF-1</v>
      </c>
      <c r="M18" s="36" t="str">
        <f t="shared" si="1"/>
        <v>Sécurité</v>
      </c>
      <c r="N18" s="37" t="str">
        <f t="shared" si="2"/>
        <v>Conformité</v>
      </c>
      <c r="O18" s="42" t="str">
        <f t="shared" ca="1" si="3"/>
        <v/>
      </c>
      <c r="P18" s="36">
        <f t="shared" ca="1" si="4"/>
      </c>
      <c r="AE18" s="29">
        <f ca="1">IF($H18=1,COUNTIF($H$4:$H18,1),"")</f>
      </c>
      <c r="AF18" s="29">
        <f ca="1">IF(AND($G18&lt;&gt;"",$G18&gt;0,$G18&lt;$AF$1),COUNTIFS($G$4:$G18,"&gt;0",$G$4:$G18,"&lt;"&amp;$AF$1),"")</f>
      </c>
    </row>
    <row r="19" spans="1:32" ht="15.75" x14ac:dyDescent="0.25">
      <c r="A19" s="38" t="str">
        <f>REFERENTIEL!E19</f>
        <v>SA-PRT-1.4</v>
      </c>
      <c r="B19" s="35" t="str">
        <f>REFERENTIEL!A19</f>
        <v>Santé</v>
      </c>
      <c r="C19" s="35" t="str">
        <f>REFERENTIEL!B19</f>
        <v>Protection</v>
      </c>
      <c r="D19" s="35" t="str">
        <f>REFERENTIEL!C19</f>
        <v>SA-PRT-1</v>
      </c>
      <c r="E19" s="35" t="str">
        <f>REFERENTIEL!H19</f>
        <v>Binaire</v>
      </c>
      <c r="F19" s="35">
        <f>REFERENTIEL!J19</f>
        <v>1</v>
      </c>
      <c r="G19" s="41">
        <f ca="1">IF(SAISIE!$I34="","",IF($E19="Binaire",SAISIE!$I34*100,IF($E19="Maturité",(SAISIE!$I34-1)*25,IF(OR(SAISIE!$J34="",SAISIE!$J34=0),"",MIN(100,SAISIE!$I34*$F19/SAISIE!$J34*100)))))</f>
      </c>
      <c r="H19" s="39">
        <f t="shared" ca="1" si="0"/>
      </c>
      <c r="I19" s="35">
        <f ca="1">IF(SAISIE!$K34="NA",1,"")</f>
      </c>
      <c r="J19" s="35">
        <f ca="1">IF(AND(SAISIE!$K34&lt;&gt;"",SAISIE!$K34&lt;&gt;"OK",SAISIE!$K34&lt;&gt;"NA"),1,"")</f>
      </c>
      <c r="L19" s="37" t="str">
        <f t="shared" si="13"/>
        <v>SE-CNF-2</v>
      </c>
      <c r="M19" s="36" t="str">
        <f t="shared" si="1"/>
        <v>Sécurité</v>
      </c>
      <c r="N19" s="36" t="str">
        <f t="shared" si="2"/>
        <v>Conformité</v>
      </c>
      <c r="O19" s="42" t="str">
        <f t="shared" ca="1" si="3"/>
        <v/>
      </c>
      <c r="P19" s="36">
        <f t="shared" ca="1" si="4"/>
      </c>
      <c r="AE19" s="29">
        <f ca="1">IF($H19=1,COUNTIF($H$4:$H19,1),"")</f>
      </c>
      <c r="AF19" s="29">
        <f ca="1">IF(AND($G19&lt;&gt;"",$G19&gt;0,$G19&lt;$AF$1),COUNTIFS($G$4:$G19,"&gt;0",$G$4:$G19,"&lt;"&amp;$AF$1),"")</f>
      </c>
    </row>
    <row r="20" spans="1:32" ht="15.75" x14ac:dyDescent="0.25">
      <c r="A20" s="38" t="str">
        <f>REFERENTIEL!E20</f>
        <v>SA-PRT-2.1</v>
      </c>
      <c r="B20" s="35" t="str">
        <f>REFERENTIEL!A20</f>
        <v>Santé</v>
      </c>
      <c r="C20" s="35" t="str">
        <f>REFERENTIEL!B20</f>
        <v>Protection</v>
      </c>
      <c r="D20" s="35" t="str">
        <f>REFERENTIEL!C20</f>
        <v>SA-PRT-2</v>
      </c>
      <c r="E20" s="35" t="str">
        <f>REFERENTIEL!H20</f>
        <v>Binaire</v>
      </c>
      <c r="F20" s="35">
        <f>REFERENTIEL!J20</f>
        <v>1</v>
      </c>
      <c r="G20" s="41">
        <f ca="1">IF(SAISIE!$I35="","",IF($E20="Binaire",SAISIE!$I35*100,IF($E20="Maturité",(SAISIE!$I35-1)*25,IF(OR(SAISIE!$J35="",SAISIE!$J35=0),"",MIN(100,SAISIE!$I35*$F20/SAISIE!$J35*100)))))</f>
      </c>
      <c r="H20" s="39">
        <f t="shared" ca="1" si="0"/>
      </c>
      <c r="I20" s="35">
        <f ca="1">IF(SAISIE!$K35="NA",1,"")</f>
      </c>
      <c r="J20" s="35">
        <f ca="1">IF(AND(SAISIE!$K35&lt;&gt;"",SAISIE!$K35&lt;&gt;"OK",SAISIE!$K35&lt;&gt;"NA"),1,"")</f>
      </c>
      <c r="L20" s="37" t="str">
        <f t="shared" si="13"/>
        <v>SE-CNF-3</v>
      </c>
      <c r="M20" s="36" t="str">
        <f t="shared" si="1"/>
        <v>Sécurité</v>
      </c>
      <c r="N20" s="36" t="str">
        <f t="shared" si="2"/>
        <v>Conformité</v>
      </c>
      <c r="O20" s="42" t="str">
        <f t="shared" ca="1" si="3"/>
        <v/>
      </c>
      <c r="P20" s="36">
        <f t="shared" ca="1" si="4"/>
      </c>
      <c r="AE20" s="29">
        <f ca="1">IF($H20=1,COUNTIF($H$4:$H20,1),"")</f>
      </c>
      <c r="AF20" s="29">
        <f ca="1">IF(AND($G20&lt;&gt;"",$G20&gt;0,$G20&lt;$AF$1),COUNTIFS($G$4:$G20,"&gt;0",$G$4:$G20,"&lt;"&amp;$AF$1),"")</f>
      </c>
    </row>
    <row r="21" spans="1:32" ht="15.75" x14ac:dyDescent="0.25">
      <c r="A21" s="38" t="str">
        <f>REFERENTIEL!E21</f>
        <v>SA-PRT-2.2</v>
      </c>
      <c r="B21" s="35" t="str">
        <f>REFERENTIEL!A21</f>
        <v>Santé</v>
      </c>
      <c r="C21" s="35" t="str">
        <f>REFERENTIEL!B21</f>
        <v>Protection</v>
      </c>
      <c r="D21" s="35" t="str">
        <f>REFERENTIEL!C21</f>
        <v>SA-PRT-2</v>
      </c>
      <c r="E21" s="35" t="str">
        <f>REFERENTIEL!H21</f>
        <v>Binaire</v>
      </c>
      <c r="F21" s="35">
        <f>REFERENTIEL!J21</f>
        <v>1</v>
      </c>
      <c r="G21" s="41">
        <f ca="1">IF(SAISIE!$I36="","",IF($E21="Binaire",SAISIE!$I36*100,IF($E21="Maturité",(SAISIE!$I36-1)*25,IF(OR(SAISIE!$J36="",SAISIE!$J36=0),"",MIN(100,SAISIE!$I36*$F21/SAISIE!$J36*100)))))</f>
      </c>
      <c r="H21" s="39">
        <f t="shared" ca="1" si="0"/>
      </c>
      <c r="I21" s="35">
        <f ca="1">IF(SAISIE!$K36="NA",1,"")</f>
      </c>
      <c r="J21" s="35">
        <f ca="1">IF(AND(SAISIE!$K36&lt;&gt;"",SAISIE!$K36&lt;&gt;"OK",SAISIE!$K36&lt;&gt;"NA"),1,"")</f>
      </c>
      <c r="L21" s="37" t="str">
        <f t="shared" si="13"/>
        <v>EN-PRV-1</v>
      </c>
      <c r="M21" s="37" t="str">
        <f t="shared" si="1"/>
        <v>Environnement</v>
      </c>
      <c r="N21" s="37" t="str">
        <f t="shared" si="2"/>
        <v>Prévention</v>
      </c>
      <c r="O21" s="42" t="str">
        <f t="shared" ca="1" si="3"/>
        <v/>
      </c>
      <c r="P21" s="36">
        <f t="shared" ca="1" si="4"/>
      </c>
      <c r="AE21" s="29">
        <f ca="1">IF($H21=1,COUNTIF($H$4:$H21,1),"")</f>
      </c>
      <c r="AF21" s="29">
        <f ca="1">IF(AND($G21&lt;&gt;"",$G21&gt;0,$G21&lt;$AF$1),COUNTIFS($G$4:$G21,"&gt;0",$G$4:$G21,"&lt;"&amp;$AF$1),"")</f>
      </c>
    </row>
    <row r="22" spans="1:32" ht="15.75" x14ac:dyDescent="0.25">
      <c r="A22" s="38" t="str">
        <f>REFERENTIEL!E22</f>
        <v>SA-PRT-2.3</v>
      </c>
      <c r="B22" s="35" t="str">
        <f>REFERENTIEL!A22</f>
        <v>Santé</v>
      </c>
      <c r="C22" s="35" t="str">
        <f>REFERENTIEL!B22</f>
        <v>Protection</v>
      </c>
      <c r="D22" s="35" t="str">
        <f>REFERENTIEL!C22</f>
        <v>SA-PRT-2</v>
      </c>
      <c r="E22" s="35" t="str">
        <f>REFERENTIEL!H22</f>
        <v>Binaire</v>
      </c>
      <c r="F22" s="35">
        <f>REFERENTIEL!J22</f>
        <v>1</v>
      </c>
      <c r="G22" s="41">
        <f ca="1">IF(SAISIE!$I37="","",IF($E22="Binaire",SAISIE!$I37*100,IF($E22="Maturité",(SAISIE!$I37-1)*25,IF(OR(SAISIE!$J37="",SAISIE!$J37=0),"",MIN(100,SAISIE!$I37*$F22/SAISIE!$J37*100)))))</f>
      </c>
      <c r="H22" s="39">
        <f t="shared" ca="1" si="0"/>
      </c>
      <c r="I22" s="35">
        <f ca="1">IF(SAISIE!$K37="NA",1,"")</f>
      </c>
      <c r="J22" s="35">
        <f ca="1">IF(AND(SAISIE!$K37&lt;&gt;"",SAISIE!$K37&lt;&gt;"OK",SAISIE!$K37&lt;&gt;"NA"),1,"")</f>
      </c>
      <c r="L22" s="37" t="str">
        <f t="shared" si="13"/>
        <v>EN-PRV-2</v>
      </c>
      <c r="M22" s="36" t="str">
        <f t="shared" si="1"/>
        <v>Environnement</v>
      </c>
      <c r="N22" s="36" t="str">
        <f t="shared" si="2"/>
        <v>Prévention</v>
      </c>
      <c r="O22" s="42" t="str">
        <f t="shared" ca="1" si="3"/>
        <v/>
      </c>
      <c r="P22" s="36">
        <f t="shared" ca="1" si="4"/>
      </c>
      <c r="AE22" s="29">
        <f ca="1">IF($H22=1,COUNTIF($H$4:$H22,1),"")</f>
      </c>
      <c r="AF22" s="29">
        <f ca="1">IF(AND($G22&lt;&gt;"",$G22&gt;0,$G22&lt;$AF$1),COUNTIFS($G$4:$G22,"&gt;0",$G$4:$G22,"&lt;"&amp;$AF$1),"")</f>
      </c>
    </row>
    <row r="23" spans="1:32" ht="15.75" x14ac:dyDescent="0.25">
      <c r="A23" s="38" t="str">
        <f>REFERENTIEL!E23</f>
        <v>SA-PRT-2.4</v>
      </c>
      <c r="B23" s="35" t="str">
        <f>REFERENTIEL!A23</f>
        <v>Santé</v>
      </c>
      <c r="C23" s="35" t="str">
        <f>REFERENTIEL!B23</f>
        <v>Protection</v>
      </c>
      <c r="D23" s="35" t="str">
        <f>REFERENTIEL!C23</f>
        <v>SA-PRT-2</v>
      </c>
      <c r="E23" s="35" t="str">
        <f>REFERENTIEL!H23</f>
        <v>Binaire</v>
      </c>
      <c r="F23" s="35">
        <f>REFERENTIEL!J23</f>
        <v>1</v>
      </c>
      <c r="G23" s="41">
        <f ca="1">IF(SAISIE!$I38="","",IF($E23="Binaire",SAISIE!$I38*100,IF($E23="Maturité",(SAISIE!$I38-1)*25,IF(OR(SAISIE!$J38="",SAISIE!$J38=0),"",MIN(100,SAISIE!$I38*$F23/SAISIE!$J38*100)))))</f>
      </c>
      <c r="H23" s="39">
        <f t="shared" ca="1" si="0"/>
      </c>
      <c r="I23" s="35">
        <f ca="1">IF(SAISIE!$K38="NA",1,"")</f>
      </c>
      <c r="J23" s="35">
        <f ca="1">IF(AND(SAISIE!$K38&lt;&gt;"",SAISIE!$K38&lt;&gt;"OK",SAISIE!$K38&lt;&gt;"NA"),1,"")</f>
      </c>
      <c r="L23" s="37" t="str">
        <f t="shared" si="13"/>
        <v>EN-PRV-3</v>
      </c>
      <c r="M23" s="36" t="str">
        <f t="shared" si="1"/>
        <v>Environnement</v>
      </c>
      <c r="N23" s="36" t="str">
        <f t="shared" si="2"/>
        <v>Prévention</v>
      </c>
      <c r="O23" s="42" t="str">
        <f t="shared" ca="1" si="3"/>
        <v/>
      </c>
      <c r="P23" s="36">
        <f t="shared" ca="1" si="4"/>
      </c>
      <c r="AE23" s="29">
        <f ca="1">IF($H23=1,COUNTIF($H$4:$H23,1),"")</f>
      </c>
      <c r="AF23" s="29">
        <f ca="1">IF(AND($G23&lt;&gt;"",$G23&gt;0,$G23&lt;$AF$1),COUNTIFS($G$4:$G23,"&gt;0",$G$4:$G23,"&lt;"&amp;$AF$1),"")</f>
      </c>
    </row>
    <row r="24" spans="1:32" ht="15.75" x14ac:dyDescent="0.25">
      <c r="A24" s="38" t="str">
        <f>REFERENTIEL!E24</f>
        <v>SA-CNF-1.1</v>
      </c>
      <c r="B24" s="35" t="str">
        <f>REFERENTIEL!A24</f>
        <v>Santé</v>
      </c>
      <c r="C24" s="38" t="str">
        <f>REFERENTIEL!B24</f>
        <v>Conformité</v>
      </c>
      <c r="D24" s="35" t="str">
        <f>REFERENTIEL!C24</f>
        <v>SA-CNF-1</v>
      </c>
      <c r="E24" s="35" t="str">
        <f>REFERENTIEL!H24</f>
        <v>Binaire</v>
      </c>
      <c r="F24" s="35">
        <f>REFERENTIEL!J24</f>
        <v>1</v>
      </c>
      <c r="G24" s="41">
        <f ca="1">IF(SAISIE!$I39="","",IF($E24="Binaire",SAISIE!$I39*100,IF($E24="Maturité",(SAISIE!$I39-1)*25,IF(OR(SAISIE!$J39="",SAISIE!$J39=0),"",MIN(100,SAISIE!$I39*$F24/SAISIE!$J39*100)))))</f>
      </c>
      <c r="H24" s="39">
        <f t="shared" ca="1" si="0"/>
      </c>
      <c r="I24" s="35">
        <f ca="1">IF(SAISIE!$K39="NA",1,"")</f>
      </c>
      <c r="J24" s="35">
        <f ca="1">IF(AND(SAISIE!$K39&lt;&gt;"",SAISIE!$K39&lt;&gt;"OK",SAISIE!$K39&lt;&gt;"NA"),1,"")</f>
      </c>
      <c r="L24" s="37" t="str">
        <f t="shared" si="13"/>
        <v>EN-PRT-1</v>
      </c>
      <c r="M24" s="36" t="str">
        <f t="shared" si="1"/>
        <v>Environnement</v>
      </c>
      <c r="N24" s="37" t="str">
        <f t="shared" si="2"/>
        <v>Protection</v>
      </c>
      <c r="O24" s="42" t="str">
        <f t="shared" ca="1" si="3"/>
        <v/>
      </c>
      <c r="P24" s="36">
        <f t="shared" ca="1" si="4"/>
      </c>
      <c r="AE24" s="29">
        <f ca="1">IF($H24=1,COUNTIF($H$4:$H24,1),"")</f>
      </c>
      <c r="AF24" s="29">
        <f ca="1">IF(AND($G24&lt;&gt;"",$G24&gt;0,$G24&lt;$AF$1),COUNTIFS($G$4:$G24,"&gt;0",$G$4:$G24,"&lt;"&amp;$AF$1),"")</f>
      </c>
    </row>
    <row r="25" spans="1:32" ht="15.75" x14ac:dyDescent="0.25">
      <c r="A25" s="38" t="str">
        <f>REFERENTIEL!E25</f>
        <v>SA-CNF-1.2</v>
      </c>
      <c r="B25" s="35" t="str">
        <f>REFERENTIEL!A25</f>
        <v>Santé</v>
      </c>
      <c r="C25" s="35" t="str">
        <f>REFERENTIEL!B25</f>
        <v>Conformité</v>
      </c>
      <c r="D25" s="35" t="str">
        <f>REFERENTIEL!C25</f>
        <v>SA-CNF-1</v>
      </c>
      <c r="E25" s="35" t="str">
        <f>REFERENTIEL!H25</f>
        <v>Taux</v>
      </c>
      <c r="F25" s="35">
        <f>REFERENTIEL!J25</f>
        <v>1</v>
      </c>
      <c r="G25" s="41">
        <f ca="1">IF(SAISIE!$I40="","",IF($E25="Binaire",SAISIE!$I40*100,IF($E25="Maturité",(SAISIE!$I40-1)*25,IF(OR(SAISIE!$J40="",SAISIE!$J40=0),"",MIN(100,SAISIE!$I40*$F25/SAISIE!$J40*100)))))</f>
      </c>
      <c r="H25" s="39">
        <f t="shared" ca="1" si="0"/>
      </c>
      <c r="I25" s="35">
        <f ca="1">IF(SAISIE!$K40="NA",1,"")</f>
      </c>
      <c r="J25" s="35">
        <f ca="1">IF(AND(SAISIE!$K40&lt;&gt;"",SAISIE!$K40&lt;&gt;"OK",SAISIE!$K40&lt;&gt;"NA"),1,"")</f>
      </c>
      <c r="L25" s="37" t="str">
        <f t="shared" si="13"/>
        <v>EN-PRT-2</v>
      </c>
      <c r="M25" s="36" t="str">
        <f t="shared" si="1"/>
        <v>Environnement</v>
      </c>
      <c r="N25" s="36" t="str">
        <f t="shared" si="2"/>
        <v>Protection</v>
      </c>
      <c r="O25" s="42" t="str">
        <f t="shared" ca="1" si="3"/>
        <v/>
      </c>
      <c r="P25" s="36">
        <f t="shared" ca="1" si="4"/>
      </c>
      <c r="AE25" s="29">
        <f ca="1">IF($H25=1,COUNTIF($H$4:$H25,1),"")</f>
      </c>
      <c r="AF25" s="29">
        <f ca="1">IF(AND($G25&lt;&gt;"",$G25&gt;0,$G25&lt;$AF$1),COUNTIFS($G$4:$G25,"&gt;0",$G$4:$G25,"&lt;"&amp;$AF$1),"")</f>
      </c>
    </row>
    <row r="26" spans="1:32" ht="15.75" x14ac:dyDescent="0.25">
      <c r="A26" s="38" t="str">
        <f>REFERENTIEL!E26</f>
        <v>SA-CNF-1.3</v>
      </c>
      <c r="B26" s="35" t="str">
        <f>REFERENTIEL!A26</f>
        <v>Santé</v>
      </c>
      <c r="C26" s="35" t="str">
        <f>REFERENTIEL!B26</f>
        <v>Conformité</v>
      </c>
      <c r="D26" s="35" t="str">
        <f>REFERENTIEL!C26</f>
        <v>SA-CNF-1</v>
      </c>
      <c r="E26" s="35" t="str">
        <f>REFERENTIEL!H26</f>
        <v>Binaire</v>
      </c>
      <c r="F26" s="35">
        <f>REFERENTIEL!J26</f>
        <v>1</v>
      </c>
      <c r="G26" s="41">
        <f ca="1">IF(SAISIE!$I41="","",IF($E26="Binaire",SAISIE!$I41*100,IF($E26="Maturité",(SAISIE!$I41-1)*25,IF(OR(SAISIE!$J41="",SAISIE!$J41=0),"",MIN(100,SAISIE!$I41*$F26/SAISIE!$J41*100)))))</f>
      </c>
      <c r="H26" s="39">
        <f t="shared" ca="1" si="0"/>
      </c>
      <c r="I26" s="35">
        <f ca="1">IF(SAISIE!$K41="NA",1,"")</f>
      </c>
      <c r="J26" s="35">
        <f ca="1">IF(AND(SAISIE!$K41&lt;&gt;"",SAISIE!$K41&lt;&gt;"OK",SAISIE!$K41&lt;&gt;"NA"),1,"")</f>
      </c>
      <c r="L26" s="37" t="str">
        <f t="shared" si="13"/>
        <v>EN-CNF-1</v>
      </c>
      <c r="M26" s="36" t="str">
        <f t="shared" si="1"/>
        <v>Environnement</v>
      </c>
      <c r="N26" s="37" t="str">
        <f t="shared" si="2"/>
        <v>Conformité</v>
      </c>
      <c r="O26" s="42" t="str">
        <f t="shared" ca="1" si="3"/>
        <v/>
      </c>
      <c r="P26" s="36">
        <f t="shared" ca="1" si="4"/>
      </c>
      <c r="AE26" s="29">
        <f ca="1">IF($H26=1,COUNTIF($H$4:$H26,1),"")</f>
      </c>
      <c r="AF26" s="29">
        <f ca="1">IF(AND($G26&lt;&gt;"",$G26&gt;0,$G26&lt;$AF$1),COUNTIFS($G$4:$G26,"&gt;0",$G$4:$G26,"&lt;"&amp;$AF$1),"")</f>
      </c>
    </row>
    <row r="27" spans="1:32" ht="15.75" x14ac:dyDescent="0.25">
      <c r="A27" s="38" t="str">
        <f>REFERENTIEL!E27</f>
        <v>SA-CNF-1.4</v>
      </c>
      <c r="B27" s="35" t="str">
        <f>REFERENTIEL!A27</f>
        <v>Santé</v>
      </c>
      <c r="C27" s="35" t="str">
        <f>REFERENTIEL!B27</f>
        <v>Conformité</v>
      </c>
      <c r="D27" s="35" t="str">
        <f>REFERENTIEL!C27</f>
        <v>SA-CNF-1</v>
      </c>
      <c r="E27" s="35" t="str">
        <f>REFERENTIEL!H27</f>
        <v>Taux</v>
      </c>
      <c r="F27" s="35">
        <f>REFERENTIEL!J27</f>
        <v>1</v>
      </c>
      <c r="G27" s="41">
        <f ca="1">IF(SAISIE!$I42="","",IF($E27="Binaire",SAISIE!$I42*100,IF($E27="Maturité",(SAISIE!$I42-1)*25,IF(OR(SAISIE!$J42="",SAISIE!$J42=0),"",MIN(100,SAISIE!$I42*$F27/SAISIE!$J42*100)))))</f>
      </c>
      <c r="H27" s="39">
        <f t="shared" ca="1" si="0"/>
      </c>
      <c r="I27" s="35">
        <f ca="1">IF(SAISIE!$K42="NA",1,"")</f>
      </c>
      <c r="J27" s="35">
        <f ca="1">IF(AND(SAISIE!$K42&lt;&gt;"",SAISIE!$K42&lt;&gt;"OK",SAISIE!$K42&lt;&gt;"NA"),1,"")</f>
      </c>
      <c r="L27" s="37" t="str">
        <f t="shared" si="13"/>
        <v>EN-CNF-2</v>
      </c>
      <c r="M27" s="36" t="str">
        <f t="shared" si="1"/>
        <v>Environnement</v>
      </c>
      <c r="N27" s="36" t="str">
        <f t="shared" si="2"/>
        <v>Conformité</v>
      </c>
      <c r="O27" s="42" t="str">
        <f t="shared" ca="1" si="3"/>
        <v/>
      </c>
      <c r="P27" s="36">
        <f t="shared" ca="1" si="4"/>
      </c>
      <c r="AE27" s="29">
        <f ca="1">IF($H27=1,COUNTIF($H$4:$H27,1),"")</f>
      </c>
      <c r="AF27" s="29">
        <f ca="1">IF(AND($G27&lt;&gt;"",$G27&gt;0,$G27&lt;$AF$1),COUNTIFS($G$4:$G27,"&gt;0",$G$4:$G27,"&lt;"&amp;$AF$1),"")</f>
      </c>
    </row>
    <row r="28" spans="1:32" ht="15.75" x14ac:dyDescent="0.25">
      <c r="A28" s="38" t="str">
        <f>REFERENTIEL!E28</f>
        <v>SA-CNF-2.1</v>
      </c>
      <c r="B28" s="35" t="str">
        <f>REFERENTIEL!A28</f>
        <v>Santé</v>
      </c>
      <c r="C28" s="35" t="str">
        <f>REFERENTIEL!B28</f>
        <v>Conformité</v>
      </c>
      <c r="D28" s="35" t="str">
        <f>REFERENTIEL!C28</f>
        <v>SA-CNF-2</v>
      </c>
      <c r="E28" s="35" t="str">
        <f>REFERENTIEL!H28</f>
        <v>Taux</v>
      </c>
      <c r="F28" s="35">
        <f>REFERENTIEL!J28</f>
        <v>25</v>
      </c>
      <c r="G28" s="41">
        <f ca="1">IF(SAISIE!$I43="","",IF($E28="Binaire",SAISIE!$I43*100,IF($E28="Maturité",(SAISIE!$I43-1)*25,IF(OR(SAISIE!$J43="",SAISIE!$J43=0),"",MIN(100,SAISIE!$I43*$F28/SAISIE!$J43*100)))))</f>
      </c>
      <c r="H28" s="39">
        <f t="shared" ca="1" si="0"/>
      </c>
      <c r="I28" s="35">
        <f ca="1">IF(SAISIE!$K43="NA",1,"")</f>
      </c>
      <c r="J28" s="35">
        <f ca="1">IF(AND(SAISIE!$K43&lt;&gt;"",SAISIE!$K43&lt;&gt;"OK",SAISIE!$K43&lt;&gt;"NA"),1,"")</f>
      </c>
      <c r="L28" s="37" t="str">
        <f t="shared" si="13"/>
        <v>EN-CNF-3</v>
      </c>
      <c r="M28" s="36" t="str">
        <f t="shared" si="1"/>
        <v>Environnement</v>
      </c>
      <c r="N28" s="36" t="str">
        <f t="shared" si="2"/>
        <v>Conformité</v>
      </c>
      <c r="O28" s="42" t="str">
        <f t="shared" ca="1" si="3"/>
        <v/>
      </c>
      <c r="P28" s="36">
        <f t="shared" ca="1" si="4"/>
      </c>
      <c r="AE28" s="29">
        <f ca="1">IF($H28=1,COUNTIF($H$4:$H28,1),"")</f>
      </c>
      <c r="AF28" s="29">
        <f ca="1">IF(AND($G28&lt;&gt;"",$G28&gt;0,$G28&lt;$AF$1),COUNTIFS($G$4:$G28,"&gt;0",$G$4:$G28,"&lt;"&amp;$AF$1),"")</f>
      </c>
    </row>
    <row r="29" spans="1:32" ht="15.75" x14ac:dyDescent="0.25">
      <c r="A29" s="38" t="str">
        <f>REFERENTIEL!E29</f>
        <v>SA-CNF-2.2</v>
      </c>
      <c r="B29" s="35" t="str">
        <f>REFERENTIEL!A29</f>
        <v>Santé</v>
      </c>
      <c r="C29" s="35" t="str">
        <f>REFERENTIEL!B29</f>
        <v>Conformité</v>
      </c>
      <c r="D29" s="35" t="str">
        <f>REFERENTIEL!C29</f>
        <v>SA-CNF-2</v>
      </c>
      <c r="E29" s="35" t="str">
        <f>REFERENTIEL!H29</f>
        <v>Taux</v>
      </c>
      <c r="F29" s="35">
        <f>REFERENTIEL!J29</f>
        <v>15</v>
      </c>
      <c r="G29" s="41">
        <f ca="1">IF(SAISIE!$I44="","",IF($E29="Binaire",SAISIE!$I44*100,IF($E29="Maturité",(SAISIE!$I44-1)*25,IF(OR(SAISIE!$J44="",SAISIE!$J44=0),"",MIN(100,SAISIE!$I44*$F29/SAISIE!$J44*100)))))</f>
      </c>
      <c r="H29" s="39">
        <f t="shared" ca="1" si="0"/>
      </c>
      <c r="I29" s="35">
        <f ca="1">IF(SAISIE!$K44="NA",1,"")</f>
      </c>
      <c r="J29" s="35">
        <f ca="1">IF(AND(SAISIE!$K44&lt;&gt;"",SAISIE!$K44&lt;&gt;"OK",SAISIE!$K44&lt;&gt;"NA"),1,"")</f>
      </c>
      <c r="L29" s="37" t="str">
        <f t="shared" si="13"/>
        <v>SO-PRV-1</v>
      </c>
      <c r="M29" s="37" t="str">
        <f t="shared" si="1"/>
        <v>Social</v>
      </c>
      <c r="N29" s="37" t="str">
        <f t="shared" si="2"/>
        <v>Prévention</v>
      </c>
      <c r="O29" s="42" t="str">
        <f t="shared" ca="1" si="3"/>
        <v/>
      </c>
      <c r="P29" s="36">
        <f t="shared" ca="1" si="4"/>
      </c>
      <c r="AE29" s="29">
        <f ca="1">IF($H29=1,COUNTIF($H$4:$H29,1),"")</f>
      </c>
      <c r="AF29" s="29">
        <f ca="1">IF(AND($G29&lt;&gt;"",$G29&gt;0,$G29&lt;$AF$1),COUNTIFS($G$4:$G29,"&gt;0",$G$4:$G29,"&lt;"&amp;$AF$1),"")</f>
      </c>
    </row>
    <row r="30" spans="1:32" ht="15.75" x14ac:dyDescent="0.25">
      <c r="A30" s="38" t="str">
        <f>REFERENTIEL!E30</f>
        <v>SA-CNF-2.3</v>
      </c>
      <c r="B30" s="35" t="str">
        <f>REFERENTIEL!A30</f>
        <v>Santé</v>
      </c>
      <c r="C30" s="35" t="str">
        <f>REFERENTIEL!B30</f>
        <v>Conformité</v>
      </c>
      <c r="D30" s="35" t="str">
        <f>REFERENTIEL!C30</f>
        <v>SA-CNF-2</v>
      </c>
      <c r="E30" s="35" t="str">
        <f>REFERENTIEL!H30</f>
        <v>Maturité</v>
      </c>
      <c r="F30" s="35">
        <f>REFERENTIEL!J30</f>
        <v>1</v>
      </c>
      <c r="G30" s="41">
        <f ca="1">IF(SAISIE!$I45="","",IF($E30="Binaire",SAISIE!$I45*100,IF($E30="Maturité",(SAISIE!$I45-1)*25,IF(OR(SAISIE!$J45="",SAISIE!$J45=0),"",MIN(100,SAISIE!$I45*$F30/SAISIE!$J45*100)))))</f>
      </c>
      <c r="H30" s="39">
        <f t="shared" ca="1" si="0"/>
      </c>
      <c r="I30" s="35">
        <f ca="1">IF(SAISIE!$K45="NA",1,"")</f>
      </c>
      <c r="J30" s="35">
        <f ca="1">IF(AND(SAISIE!$K45&lt;&gt;"",SAISIE!$K45&lt;&gt;"OK",SAISIE!$K45&lt;&gt;"NA"),1,"")</f>
      </c>
      <c r="L30" s="37" t="str">
        <f t="shared" si="13"/>
        <v>SO-PRV-2</v>
      </c>
      <c r="M30" s="36" t="str">
        <f t="shared" si="1"/>
        <v>Social</v>
      </c>
      <c r="N30" s="36" t="str">
        <f t="shared" si="2"/>
        <v>Prévention</v>
      </c>
      <c r="O30" s="42" t="str">
        <f t="shared" ca="1" si="3"/>
        <v/>
      </c>
      <c r="P30" s="36">
        <f t="shared" ca="1" si="4"/>
      </c>
      <c r="AE30" s="29">
        <f ca="1">IF($H30=1,COUNTIF($H$4:$H30,1),"")</f>
      </c>
      <c r="AF30" s="29">
        <f ca="1">IF(AND($G30&lt;&gt;"",$G30&gt;0,$G30&lt;$AF$1),COUNTIFS($G$4:$G30,"&gt;0",$G$4:$G30,"&lt;"&amp;$AF$1),"")</f>
      </c>
    </row>
    <row r="31" spans="1:32" ht="15.75" x14ac:dyDescent="0.25">
      <c r="A31" s="38" t="str">
        <f>REFERENTIEL!E31</f>
        <v>SA-CNF-2.4</v>
      </c>
      <c r="B31" s="35" t="str">
        <f>REFERENTIEL!A31</f>
        <v>Santé</v>
      </c>
      <c r="C31" s="35" t="str">
        <f>REFERENTIEL!B31</f>
        <v>Conformité</v>
      </c>
      <c r="D31" s="35" t="str">
        <f>REFERENTIEL!C31</f>
        <v>SA-CNF-2</v>
      </c>
      <c r="E31" s="35" t="str">
        <f>REFERENTIEL!H31</f>
        <v>Binaire</v>
      </c>
      <c r="F31" s="35">
        <f>REFERENTIEL!J31</f>
        <v>1</v>
      </c>
      <c r="G31" s="41">
        <f ca="1">IF(SAISIE!$I46="","",IF($E31="Binaire",SAISIE!$I46*100,IF($E31="Maturité",(SAISIE!$I46-1)*25,IF(OR(SAISIE!$J46="",SAISIE!$J46=0),"",MIN(100,SAISIE!$I46*$F31/SAISIE!$J46*100)))))</f>
      </c>
      <c r="H31" s="39">
        <f t="shared" ca="1" si="0"/>
      </c>
      <c r="I31" s="35">
        <f ca="1">IF(SAISIE!$K46="NA",1,"")</f>
      </c>
      <c r="J31" s="35">
        <f ca="1">IF(AND(SAISIE!$K46&lt;&gt;"",SAISIE!$K46&lt;&gt;"OK",SAISIE!$K46&lt;&gt;"NA"),1,"")</f>
      </c>
      <c r="L31" s="37" t="str">
        <f t="shared" si="13"/>
        <v>SO-PRT-1</v>
      </c>
      <c r="M31" s="36" t="str">
        <f t="shared" si="1"/>
        <v>Social</v>
      </c>
      <c r="N31" s="37" t="str">
        <f t="shared" si="2"/>
        <v>Protection</v>
      </c>
      <c r="O31" s="42" t="str">
        <f t="shared" ca="1" si="3"/>
        <v/>
      </c>
      <c r="P31" s="36">
        <f t="shared" ca="1" si="4"/>
      </c>
      <c r="AE31" s="29">
        <f ca="1">IF($H31=1,COUNTIF($H$4:$H31,1),"")</f>
      </c>
      <c r="AF31" s="29">
        <f ca="1">IF(AND($G31&lt;&gt;"",$G31&gt;0,$G31&lt;$AF$1),COUNTIFS($G$4:$G31,"&gt;0",$G$4:$G31,"&lt;"&amp;$AF$1),"")</f>
      </c>
    </row>
    <row r="32" spans="1:32" ht="15.75" x14ac:dyDescent="0.25">
      <c r="A32" s="38" t="str">
        <f>REFERENTIEL!E32</f>
        <v>SA-CNF-3.1</v>
      </c>
      <c r="B32" s="35" t="str">
        <f>REFERENTIEL!A32</f>
        <v>Santé</v>
      </c>
      <c r="C32" s="35" t="str">
        <f>REFERENTIEL!B32</f>
        <v>Conformité</v>
      </c>
      <c r="D32" s="35" t="str">
        <f>REFERENTIEL!C32</f>
        <v>SA-CNF-3</v>
      </c>
      <c r="E32" s="35" t="str">
        <f>REFERENTIEL!H32</f>
        <v>Binaire</v>
      </c>
      <c r="F32" s="35">
        <f>REFERENTIEL!J32</f>
        <v>1</v>
      </c>
      <c r="G32" s="41">
        <f ca="1">IF(SAISIE!$I47="","",IF($E32="Binaire",SAISIE!$I47*100,IF($E32="Maturité",(SAISIE!$I47-1)*25,IF(OR(SAISIE!$J47="",SAISIE!$J47=0),"",MIN(100,SAISIE!$I47*$F32/SAISIE!$J47*100)))))</f>
      </c>
      <c r="H32" s="39">
        <f t="shared" ca="1" si="0"/>
      </c>
      <c r="I32" s="35">
        <f ca="1">IF(SAISIE!$K47="NA",1,"")</f>
      </c>
      <c r="J32" s="35">
        <f ca="1">IF(AND(SAISIE!$K47&lt;&gt;"",SAISIE!$K47&lt;&gt;"OK",SAISIE!$K47&lt;&gt;"NA"),1,"")</f>
      </c>
      <c r="L32" s="37" t="str">
        <f t="shared" si="13"/>
        <v>SO-PRT-2</v>
      </c>
      <c r="M32" s="36" t="str">
        <f t="shared" si="1"/>
        <v>Social</v>
      </c>
      <c r="N32" s="36" t="str">
        <f t="shared" si="2"/>
        <v>Protection</v>
      </c>
      <c r="O32" s="42" t="str">
        <f t="shared" ca="1" si="3"/>
        <v/>
      </c>
      <c r="P32" s="36">
        <f t="shared" ca="1" si="4"/>
      </c>
      <c r="AE32" s="29">
        <f ca="1">IF($H32=1,COUNTIF($H$4:$H32,1),"")</f>
      </c>
      <c r="AF32" s="29">
        <f ca="1">IF(AND($G32&lt;&gt;"",$G32&gt;0,$G32&lt;$AF$1),COUNTIFS($G$4:$G32,"&gt;0",$G$4:$G32,"&lt;"&amp;$AF$1),"")</f>
      </c>
    </row>
    <row r="33" spans="1:32" ht="15.75" x14ac:dyDescent="0.25">
      <c r="A33" s="38" t="str">
        <f>REFERENTIEL!E33</f>
        <v>SA-CNF-3.2</v>
      </c>
      <c r="B33" s="35" t="str">
        <f>REFERENTIEL!A33</f>
        <v>Santé</v>
      </c>
      <c r="C33" s="35" t="str">
        <f>REFERENTIEL!B33</f>
        <v>Conformité</v>
      </c>
      <c r="D33" s="35" t="str">
        <f>REFERENTIEL!C33</f>
        <v>SA-CNF-3</v>
      </c>
      <c r="E33" s="35" t="str">
        <f>REFERENTIEL!H33</f>
        <v>Binaire</v>
      </c>
      <c r="F33" s="35">
        <f>REFERENTIEL!J33</f>
        <v>1</v>
      </c>
      <c r="G33" s="41">
        <f ca="1">IF(SAISIE!$I48="","",IF($E33="Binaire",SAISIE!$I48*100,IF($E33="Maturité",(SAISIE!$I48-1)*25,IF(OR(SAISIE!$J48="",SAISIE!$J48=0),"",MIN(100,SAISIE!$I48*$F33/SAISIE!$J48*100)))))</f>
      </c>
      <c r="H33" s="39">
        <f t="shared" ca="1" si="0"/>
      </c>
      <c r="I33" s="35">
        <f ca="1">IF(SAISIE!$K48="NA",1,"")</f>
      </c>
      <c r="J33" s="35">
        <f ca="1">IF(AND(SAISIE!$K48&lt;&gt;"",SAISIE!$K48&lt;&gt;"OK",SAISIE!$K48&lt;&gt;"NA"),1,"")</f>
      </c>
      <c r="L33" s="37" t="str">
        <f t="shared" si="13"/>
        <v>SO-PRT-3</v>
      </c>
      <c r="M33" s="36" t="str">
        <f t="shared" si="1"/>
        <v>Social</v>
      </c>
      <c r="N33" s="36" t="str">
        <f t="shared" si="2"/>
        <v>Protection</v>
      </c>
      <c r="O33" s="42" t="str">
        <f t="shared" ca="1" si="3"/>
        <v/>
      </c>
      <c r="P33" s="36">
        <f t="shared" ca="1" si="4"/>
      </c>
      <c r="AE33" s="29">
        <f ca="1">IF($H33=1,COUNTIF($H$4:$H33,1),"")</f>
      </c>
      <c r="AF33" s="29">
        <f ca="1">IF(AND($G33&lt;&gt;"",$G33&gt;0,$G33&lt;$AF$1),COUNTIFS($G$4:$G33,"&gt;0",$G$4:$G33,"&lt;"&amp;$AF$1),"")</f>
      </c>
    </row>
    <row r="34" spans="1:32" ht="15.75" x14ac:dyDescent="0.25">
      <c r="A34" s="38" t="str">
        <f>REFERENTIEL!E34</f>
        <v>SA-CNF-3.3</v>
      </c>
      <c r="B34" s="35" t="str">
        <f>REFERENTIEL!A34</f>
        <v>Santé</v>
      </c>
      <c r="C34" s="35" t="str">
        <f>REFERENTIEL!B34</f>
        <v>Conformité</v>
      </c>
      <c r="D34" s="35" t="str">
        <f>REFERENTIEL!C34</f>
        <v>SA-CNF-3</v>
      </c>
      <c r="E34" s="35" t="str">
        <f>REFERENTIEL!H34</f>
        <v>Binaire</v>
      </c>
      <c r="F34" s="35">
        <f>REFERENTIEL!J34</f>
        <v>1</v>
      </c>
      <c r="G34" s="41">
        <f ca="1">IF(SAISIE!$I49="","",IF($E34="Binaire",SAISIE!$I49*100,IF($E34="Maturité",(SAISIE!$I49-1)*25,IF(OR(SAISIE!$J49="",SAISIE!$J49=0),"",MIN(100,SAISIE!$I49*$F34/SAISIE!$J49*100)))))</f>
      </c>
      <c r="H34" s="39">
        <f t="shared" ca="1" si="0"/>
      </c>
      <c r="I34" s="35">
        <f ca="1">IF(SAISIE!$K49="NA",1,"")</f>
      </c>
      <c r="J34" s="35">
        <f ca="1">IF(AND(SAISIE!$K49&lt;&gt;"",SAISIE!$K49&lt;&gt;"OK",SAISIE!$K49&lt;&gt;"NA"),1,"")</f>
      </c>
      <c r="L34" s="37" t="str">
        <f t="shared" si="13"/>
        <v>SO-CNF-1</v>
      </c>
      <c r="M34" s="36" t="str">
        <f t="shared" si="1"/>
        <v>Social</v>
      </c>
      <c r="N34" s="37" t="str">
        <f t="shared" si="2"/>
        <v>Conformité</v>
      </c>
      <c r="O34" s="42" t="str">
        <f t="shared" ca="1" si="3"/>
        <v/>
      </c>
      <c r="P34" s="36">
        <f t="shared" ca="1" si="4"/>
      </c>
      <c r="AE34" s="29">
        <f ca="1">IF($H34=1,COUNTIF($H$4:$H34,1),"")</f>
      </c>
      <c r="AF34" s="29">
        <f ca="1">IF(AND($G34&lt;&gt;"",$G34&gt;0,$G34&lt;$AF$1),COUNTIFS($G$4:$G34,"&gt;0",$G$4:$G34,"&lt;"&amp;$AF$1),"")</f>
      </c>
    </row>
    <row r="35" spans="1:32" ht="15.75" x14ac:dyDescent="0.25">
      <c r="A35" s="38" t="str">
        <f>REFERENTIEL!E35</f>
        <v>SA-CNF-3.4</v>
      </c>
      <c r="B35" s="35" t="str">
        <f>REFERENTIEL!A35</f>
        <v>Santé</v>
      </c>
      <c r="C35" s="35" t="str">
        <f>REFERENTIEL!B35</f>
        <v>Conformité</v>
      </c>
      <c r="D35" s="35" t="str">
        <f>REFERENTIEL!C35</f>
        <v>SA-CNF-3</v>
      </c>
      <c r="E35" s="35" t="str">
        <f>REFERENTIEL!H35</f>
        <v>Binaire</v>
      </c>
      <c r="F35" s="35">
        <f>REFERENTIEL!J35</f>
        <v>1</v>
      </c>
      <c r="G35" s="41">
        <f ca="1">IF(SAISIE!$I50="","",IF($E35="Binaire",SAISIE!$I50*100,IF($E35="Maturité",(SAISIE!$I50-1)*25,IF(OR(SAISIE!$J50="",SAISIE!$J50=0),"",MIN(100,SAISIE!$I50*$F35/SAISIE!$J50*100)))))</f>
      </c>
      <c r="H35" s="39">
        <f t="shared" ca="1" si="0"/>
      </c>
      <c r="I35" s="35">
        <f ca="1">IF(SAISIE!$K50="NA",1,"")</f>
      </c>
      <c r="J35" s="35">
        <f ca="1">IF(AND(SAISIE!$K50&lt;&gt;"",SAISIE!$K50&lt;&gt;"OK",SAISIE!$K50&lt;&gt;"NA"),1,"")</f>
      </c>
      <c r="L35" s="37" t="str">
        <f t="shared" si="13"/>
        <v>SO-CNF-2</v>
      </c>
      <c r="M35" s="36" t="str">
        <f t="shared" si="1"/>
        <v>Social</v>
      </c>
      <c r="N35" s="36" t="str">
        <f t="shared" si="2"/>
        <v>Conformité</v>
      </c>
      <c r="O35" s="42" t="str">
        <f t="shared" ca="1" si="3"/>
        <v/>
      </c>
      <c r="P35" s="36">
        <f t="shared" ca="1" si="4"/>
      </c>
      <c r="AE35" s="29">
        <f ca="1">IF($H35=1,COUNTIF($H$4:$H35,1),"")</f>
      </c>
      <c r="AF35" s="29">
        <f ca="1">IF(AND($G35&lt;&gt;"",$G35&gt;0,$G35&lt;$AF$1),COUNTIFS($G$4:$G35,"&gt;0",$G$4:$G35,"&lt;"&amp;$AF$1),"")</f>
      </c>
    </row>
    <row r="36" spans="1:32" ht="15.75" x14ac:dyDescent="0.25">
      <c r="A36" s="38" t="str">
        <f>REFERENTIEL!E36</f>
        <v>SE-PRV-1.1</v>
      </c>
      <c r="B36" s="38" t="str">
        <f>REFERENTIEL!A36</f>
        <v>Sécurité</v>
      </c>
      <c r="C36" s="38" t="str">
        <f>REFERENTIEL!B36</f>
        <v>Prévention</v>
      </c>
      <c r="D36" s="35" t="str">
        <f>REFERENTIEL!C36</f>
        <v>SE-PRV-1</v>
      </c>
      <c r="E36" s="35" t="str">
        <f>REFERENTIEL!H36</f>
        <v>Binaire</v>
      </c>
      <c r="F36" s="35">
        <f>REFERENTIEL!J36</f>
        <v>1</v>
      </c>
      <c r="G36" s="41">
        <f ca="1">IF(SAISIE!$I51="","",IF($E36="Binaire",SAISIE!$I51*100,IF($E36="Maturité",(SAISIE!$I51-1)*25,IF(OR(SAISIE!$J51="",SAISIE!$J51=0),"",MIN(100,SAISIE!$I51*$F36/SAISIE!$J51*100)))))</f>
      </c>
      <c r="H36" s="39">
        <f t="shared" ca="1" si="0"/>
      </c>
      <c r="I36" s="35">
        <f ca="1">IF(SAISIE!$K51="NA",1,"")</f>
      </c>
      <c r="J36" s="35">
        <f ca="1">IF(AND(SAISIE!$K51&lt;&gt;"",SAISIE!$K51&lt;&gt;"OK",SAISIE!$K51&lt;&gt;"NA"),1,"")</f>
      </c>
      <c r="L36" s="37" t="str">
        <f t="shared" si="13"/>
        <v>SO-CNF-3</v>
      </c>
      <c r="M36" s="36" t="str">
        <f t="shared" si="1"/>
        <v>Social</v>
      </c>
      <c r="N36" s="36" t="str">
        <f t="shared" si="2"/>
        <v>Conformité</v>
      </c>
      <c r="O36" s="42" t="str">
        <f t="shared" ca="1" si="3"/>
        <v/>
      </c>
      <c r="P36" s="36">
        <f t="shared" ca="1" si="4"/>
      </c>
      <c r="AE36" s="29">
        <f ca="1">IF($H36=1,COUNTIF($H$4:$H36,1),"")</f>
      </c>
      <c r="AF36" s="29">
        <f ca="1">IF(AND($G36&lt;&gt;"",$G36&gt;0,$G36&lt;$AF$1),COUNTIFS($G$4:$G36,"&gt;0",$G$4:$G36,"&lt;"&amp;$AF$1),"")</f>
      </c>
    </row>
    <row r="37" spans="1:32" ht="15.75" x14ac:dyDescent="0.25">
      <c r="A37" s="38" t="str">
        <f>REFERENTIEL!E37</f>
        <v>SE-PRV-1.2</v>
      </c>
      <c r="B37" s="35" t="str">
        <f>REFERENTIEL!A37</f>
        <v>Sécurité</v>
      </c>
      <c r="C37" s="35" t="str">
        <f>REFERENTIEL!B37</f>
        <v>Prévention</v>
      </c>
      <c r="D37" s="35" t="str">
        <f>REFERENTIEL!C37</f>
        <v>SE-PRV-1</v>
      </c>
      <c r="E37" s="35" t="str">
        <f>REFERENTIEL!H37</f>
        <v>Binaire</v>
      </c>
      <c r="F37" s="35">
        <f>REFERENTIEL!J37</f>
        <v>1</v>
      </c>
      <c r="G37" s="41">
        <f ca="1">IF(SAISIE!$I52="","",IF($E37="Binaire",SAISIE!$I52*100,IF($E37="Maturité",(SAISIE!$I52-1)*25,IF(OR(SAISIE!$J52="",SAISIE!$J52=0),"",MIN(100,SAISIE!$I52*$F37/SAISIE!$J52*100)))))</f>
      </c>
      <c r="H37" s="39">
        <f t="shared" ca="1" si="0"/>
      </c>
      <c r="I37" s="35">
        <f ca="1">IF(SAISIE!$K52="NA",1,"")</f>
      </c>
      <c r="J37" s="35">
        <f ca="1">IF(AND(SAISIE!$K52&lt;&gt;"",SAISIE!$K52&lt;&gt;"OK",SAISIE!$K52&lt;&gt;"NA"),1,"")</f>
      </c>
      <c r="AE37" s="29">
        <f ca="1">IF($H37=1,COUNTIF($H$4:$H37,1),"")</f>
      </c>
      <c r="AF37" s="29">
        <f ca="1">IF(AND($G37&lt;&gt;"",$G37&gt;0,$G37&lt;$AF$1),COUNTIFS($G$4:$G37,"&gt;0",$G$4:$G37,"&lt;"&amp;$AF$1),"")</f>
      </c>
    </row>
    <row r="38" spans="1:32" ht="15.75" x14ac:dyDescent="0.25">
      <c r="A38" s="38" t="str">
        <f>REFERENTIEL!E38</f>
        <v>SE-PRV-1.3</v>
      </c>
      <c r="B38" s="35" t="str">
        <f>REFERENTIEL!A38</f>
        <v>Sécurité</v>
      </c>
      <c r="C38" s="35" t="str">
        <f>REFERENTIEL!B38</f>
        <v>Prévention</v>
      </c>
      <c r="D38" s="35" t="str">
        <f>REFERENTIEL!C38</f>
        <v>SE-PRV-1</v>
      </c>
      <c r="E38" s="35" t="str">
        <f>REFERENTIEL!H38</f>
        <v>Binaire</v>
      </c>
      <c r="F38" s="35">
        <f>REFERENTIEL!J38</f>
        <v>1</v>
      </c>
      <c r="G38" s="41">
        <f ca="1">IF(SAISIE!$I53="","",IF($E38="Binaire",SAISIE!$I53*100,IF($E38="Maturité",(SAISIE!$I53-1)*25,IF(OR(SAISIE!$J53="",SAISIE!$J53=0),"",MIN(100,SAISIE!$I53*$F38/SAISIE!$J53*100)))))</f>
      </c>
      <c r="H38" s="39">
        <f t="shared" ca="1" si="0"/>
      </c>
      <c r="I38" s="35">
        <f ca="1">IF(SAISIE!$K53="NA",1,"")</f>
      </c>
      <c r="J38" s="35">
        <f ca="1">IF(AND(SAISIE!$K53&lt;&gt;"",SAISIE!$K53&lt;&gt;"OK",SAISIE!$K53&lt;&gt;"NA"),1,"")</f>
      </c>
      <c r="AE38" s="29">
        <f ca="1">IF($H38=1,COUNTIF($H$4:$H38,1),"")</f>
      </c>
      <c r="AF38" s="29">
        <f ca="1">IF(AND($G38&lt;&gt;"",$G38&gt;0,$G38&lt;$AF$1),COUNTIFS($G$4:$G38,"&gt;0",$G$4:$G38,"&lt;"&amp;$AF$1),"")</f>
      </c>
    </row>
    <row r="39" spans="1:32" ht="15.75" x14ac:dyDescent="0.25">
      <c r="A39" s="38" t="str">
        <f>REFERENTIEL!E39</f>
        <v>SE-PRV-1.4</v>
      </c>
      <c r="B39" s="35" t="str">
        <f>REFERENTIEL!A39</f>
        <v>Sécurité</v>
      </c>
      <c r="C39" s="35" t="str">
        <f>REFERENTIEL!B39</f>
        <v>Prévention</v>
      </c>
      <c r="D39" s="35" t="str">
        <f>REFERENTIEL!C39</f>
        <v>SE-PRV-1</v>
      </c>
      <c r="E39" s="35" t="str">
        <f>REFERENTIEL!H39</f>
        <v>Binaire</v>
      </c>
      <c r="F39" s="35">
        <f>REFERENTIEL!J39</f>
        <v>1</v>
      </c>
      <c r="G39" s="41">
        <f ca="1">IF(SAISIE!$I54="","",IF($E39="Binaire",SAISIE!$I54*100,IF($E39="Maturité",(SAISIE!$I54-1)*25,IF(OR(SAISIE!$J54="",SAISIE!$J54=0),"",MIN(100,SAISIE!$I54*$F39/SAISIE!$J54*100)))))</f>
      </c>
      <c r="H39" s="39">
        <f t="shared" ca="1" si="0"/>
      </c>
      <c r="I39" s="35">
        <f ca="1">IF(SAISIE!$K54="NA",1,"")</f>
      </c>
      <c r="J39" s="35">
        <f ca="1">IF(AND(SAISIE!$K54&lt;&gt;"",SAISIE!$K54&lt;&gt;"OK",SAISIE!$K54&lt;&gt;"NA"),1,"")</f>
      </c>
      <c r="AE39" s="29">
        <f ca="1">IF($H39=1,COUNTIF($H$4:$H39,1),"")</f>
      </c>
      <c r="AF39" s="29">
        <f ca="1">IF(AND($G39&lt;&gt;"",$G39&gt;0,$G39&lt;$AF$1),COUNTIFS($G$4:$G39,"&gt;0",$G$4:$G39,"&lt;"&amp;$AF$1),"")</f>
      </c>
    </row>
    <row r="40" spans="1:32" ht="15.75" x14ac:dyDescent="0.25">
      <c r="A40" s="38" t="str">
        <f>REFERENTIEL!E40</f>
        <v>SE-PRV-2.1</v>
      </c>
      <c r="B40" s="35" t="str">
        <f>REFERENTIEL!A40</f>
        <v>Sécurité</v>
      </c>
      <c r="C40" s="35" t="str">
        <f>REFERENTIEL!B40</f>
        <v>Prévention</v>
      </c>
      <c r="D40" s="35" t="str">
        <f>REFERENTIEL!C40</f>
        <v>SE-PRV-2</v>
      </c>
      <c r="E40" s="35" t="str">
        <f>REFERENTIEL!H40</f>
        <v>Binaire</v>
      </c>
      <c r="F40" s="35">
        <f>REFERENTIEL!J40</f>
        <v>1</v>
      </c>
      <c r="G40" s="41">
        <f ca="1">IF(SAISIE!$I55="","",IF($E40="Binaire",SAISIE!$I55*100,IF($E40="Maturité",(SAISIE!$I55-1)*25,IF(OR(SAISIE!$J55="",SAISIE!$J55=0),"",MIN(100,SAISIE!$I55*$F40/SAISIE!$J55*100)))))</f>
      </c>
      <c r="H40" s="39">
        <f t="shared" ca="1" si="0"/>
      </c>
      <c r="I40" s="35">
        <f ca="1">IF(SAISIE!$K55="NA",1,"")</f>
      </c>
      <c r="J40" s="35">
        <f ca="1">IF(AND(SAISIE!$K55&lt;&gt;"",SAISIE!$K55&lt;&gt;"OK",SAISIE!$K55&lt;&gt;"NA"),1,"")</f>
      </c>
      <c r="AE40" s="29">
        <f ca="1">IF($H40=1,COUNTIF($H$4:$H40,1),"")</f>
      </c>
      <c r="AF40" s="29">
        <f ca="1">IF(AND($G40&lt;&gt;"",$G40&gt;0,$G40&lt;$AF$1),COUNTIFS($G$4:$G40,"&gt;0",$G$4:$G40,"&lt;"&amp;$AF$1),"")</f>
      </c>
    </row>
    <row r="41" spans="1:32" ht="15.75" x14ac:dyDescent="0.25">
      <c r="A41" s="38" t="str">
        <f>REFERENTIEL!E41</f>
        <v>SE-PRV-2.2</v>
      </c>
      <c r="B41" s="35" t="str">
        <f>REFERENTIEL!A41</f>
        <v>Sécurité</v>
      </c>
      <c r="C41" s="35" t="str">
        <f>REFERENTIEL!B41</f>
        <v>Prévention</v>
      </c>
      <c r="D41" s="35" t="str">
        <f>REFERENTIEL!C41</f>
        <v>SE-PRV-2</v>
      </c>
      <c r="E41" s="35" t="str">
        <f>REFERENTIEL!H41</f>
        <v>Binaire</v>
      </c>
      <c r="F41" s="35">
        <f>REFERENTIEL!J41</f>
        <v>1</v>
      </c>
      <c r="G41" s="41">
        <f ca="1">IF(SAISIE!$I56="","",IF($E41="Binaire",SAISIE!$I56*100,IF($E41="Maturité",(SAISIE!$I56-1)*25,IF(OR(SAISIE!$J56="",SAISIE!$J56=0),"",MIN(100,SAISIE!$I56*$F41/SAISIE!$J56*100)))))</f>
      </c>
      <c r="H41" s="39">
        <f t="shared" ca="1" si="0"/>
      </c>
      <c r="I41" s="35">
        <f ca="1">IF(SAISIE!$K56="NA",1,"")</f>
      </c>
      <c r="J41" s="35">
        <f ca="1">IF(AND(SAISIE!$K56&lt;&gt;"",SAISIE!$K56&lt;&gt;"OK",SAISIE!$K56&lt;&gt;"NA"),1,"")</f>
      </c>
      <c r="AE41" s="29">
        <f ca="1">IF($H41=1,COUNTIF($H$4:$H41,1),"")</f>
      </c>
      <c r="AF41" s="29">
        <f ca="1">IF(AND($G41&lt;&gt;"",$G41&gt;0,$G41&lt;$AF$1),COUNTIFS($G$4:$G41,"&gt;0",$G$4:$G41,"&lt;"&amp;$AF$1),"")</f>
      </c>
    </row>
    <row r="42" spans="1:32" ht="15.75" x14ac:dyDescent="0.25">
      <c r="A42" s="38" t="str">
        <f>REFERENTIEL!E42</f>
        <v>SE-PRV-2.3</v>
      </c>
      <c r="B42" s="35" t="str">
        <f>REFERENTIEL!A42</f>
        <v>Sécurité</v>
      </c>
      <c r="C42" s="35" t="str">
        <f>REFERENTIEL!B42</f>
        <v>Prévention</v>
      </c>
      <c r="D42" s="35" t="str">
        <f>REFERENTIEL!C42</f>
        <v>SE-PRV-2</v>
      </c>
      <c r="E42" s="35" t="str">
        <f>REFERENTIEL!H42</f>
        <v>Binaire</v>
      </c>
      <c r="F42" s="35">
        <f>REFERENTIEL!J42</f>
        <v>1</v>
      </c>
      <c r="G42" s="41">
        <f ca="1">IF(SAISIE!$I57="","",IF($E42="Binaire",SAISIE!$I57*100,IF($E42="Maturité",(SAISIE!$I57-1)*25,IF(OR(SAISIE!$J57="",SAISIE!$J57=0),"",MIN(100,SAISIE!$I57*$F42/SAISIE!$J57*100)))))</f>
      </c>
      <c r="H42" s="39">
        <f t="shared" ca="1" si="0"/>
      </c>
      <c r="I42" s="35">
        <f ca="1">IF(SAISIE!$K57="NA",1,"")</f>
      </c>
      <c r="J42" s="35">
        <f ca="1">IF(AND(SAISIE!$K57&lt;&gt;"",SAISIE!$K57&lt;&gt;"OK",SAISIE!$K57&lt;&gt;"NA"),1,"")</f>
      </c>
      <c r="AE42" s="29">
        <f ca="1">IF($H42=1,COUNTIF($H$4:$H42,1),"")</f>
      </c>
      <c r="AF42" s="29">
        <f ca="1">IF(AND($G42&lt;&gt;"",$G42&gt;0,$G42&lt;$AF$1),COUNTIFS($G$4:$G42,"&gt;0",$G$4:$G42,"&lt;"&amp;$AF$1),"")</f>
      </c>
    </row>
    <row r="43" spans="1:32" ht="15.75" x14ac:dyDescent="0.25">
      <c r="A43" s="38" t="str">
        <f>REFERENTIEL!E43</f>
        <v>SE-PRV-2.4</v>
      </c>
      <c r="B43" s="35" t="str">
        <f>REFERENTIEL!A43</f>
        <v>Sécurité</v>
      </c>
      <c r="C43" s="35" t="str">
        <f>REFERENTIEL!B43</f>
        <v>Prévention</v>
      </c>
      <c r="D43" s="35" t="str">
        <f>REFERENTIEL!C43</f>
        <v>SE-PRV-2</v>
      </c>
      <c r="E43" s="35" t="str">
        <f>REFERENTIEL!H43</f>
        <v>Binaire</v>
      </c>
      <c r="F43" s="35">
        <f>REFERENTIEL!J43</f>
        <v>1</v>
      </c>
      <c r="G43" s="41">
        <f ca="1">IF(SAISIE!$I58="","",IF($E43="Binaire",SAISIE!$I58*100,IF($E43="Maturité",(SAISIE!$I58-1)*25,IF(OR(SAISIE!$J58="",SAISIE!$J58=0),"",MIN(100,SAISIE!$I58*$F43/SAISIE!$J58*100)))))</f>
      </c>
      <c r="H43" s="39">
        <f t="shared" ca="1" si="0"/>
      </c>
      <c r="I43" s="35">
        <f ca="1">IF(SAISIE!$K58="NA",1,"")</f>
      </c>
      <c r="J43" s="35">
        <f ca="1">IF(AND(SAISIE!$K58&lt;&gt;"",SAISIE!$K58&lt;&gt;"OK",SAISIE!$K58&lt;&gt;"NA"),1,"")</f>
      </c>
      <c r="AE43" s="29">
        <f ca="1">IF($H43=1,COUNTIF($H$4:$H43,1),"")</f>
      </c>
      <c r="AF43" s="29">
        <f ca="1">IF(AND($G43&lt;&gt;"",$G43&gt;0,$G43&lt;$AF$1),COUNTIFS($G$4:$G43,"&gt;0",$G$4:$G43,"&lt;"&amp;$AF$1),"")</f>
      </c>
    </row>
    <row r="44" spans="1:32" ht="15.75" x14ac:dyDescent="0.25">
      <c r="A44" s="38" t="str">
        <f>REFERENTIEL!E44</f>
        <v>SE-PRV-3.1</v>
      </c>
      <c r="B44" s="35" t="str">
        <f>REFERENTIEL!A44</f>
        <v>Sécurité</v>
      </c>
      <c r="C44" s="35" t="str">
        <f>REFERENTIEL!B44</f>
        <v>Prévention</v>
      </c>
      <c r="D44" s="35" t="str">
        <f>REFERENTIEL!C44</f>
        <v>SE-PRV-3</v>
      </c>
      <c r="E44" s="35" t="str">
        <f>REFERENTIEL!H44</f>
        <v>Binaire</v>
      </c>
      <c r="F44" s="35">
        <f>REFERENTIEL!J44</f>
        <v>1</v>
      </c>
      <c r="G44" s="41">
        <f ca="1">IF(SAISIE!$I59="","",IF($E44="Binaire",SAISIE!$I59*100,IF($E44="Maturité",(SAISIE!$I59-1)*25,IF(OR(SAISIE!$J59="",SAISIE!$J59=0),"",MIN(100,SAISIE!$I59*$F44/SAISIE!$J59*100)))))</f>
      </c>
      <c r="H44" s="39">
        <f t="shared" ca="1" si="0"/>
      </c>
      <c r="I44" s="35">
        <f ca="1">IF(SAISIE!$K59="NA",1,"")</f>
      </c>
      <c r="J44" s="35">
        <f ca="1">IF(AND(SAISIE!$K59&lt;&gt;"",SAISIE!$K59&lt;&gt;"OK",SAISIE!$K59&lt;&gt;"NA"),1,"")</f>
      </c>
      <c r="AE44" s="29">
        <f ca="1">IF($H44=1,COUNTIF($H$4:$H44,1),"")</f>
      </c>
      <c r="AF44" s="29">
        <f ca="1">IF(AND($G44&lt;&gt;"",$G44&gt;0,$G44&lt;$AF$1),COUNTIFS($G$4:$G44,"&gt;0",$G$4:$G44,"&lt;"&amp;$AF$1),"")</f>
      </c>
    </row>
    <row r="45" spans="1:32" ht="15.75" x14ac:dyDescent="0.25">
      <c r="A45" s="38" t="str">
        <f>REFERENTIEL!E45</f>
        <v>SE-PRV-3.2</v>
      </c>
      <c r="B45" s="35" t="str">
        <f>REFERENTIEL!A45</f>
        <v>Sécurité</v>
      </c>
      <c r="C45" s="35" t="str">
        <f>REFERENTIEL!B45</f>
        <v>Prévention</v>
      </c>
      <c r="D45" s="35" t="str">
        <f>REFERENTIEL!C45</f>
        <v>SE-PRV-3</v>
      </c>
      <c r="E45" s="35" t="str">
        <f>REFERENTIEL!H45</f>
        <v>Taux</v>
      </c>
      <c r="F45" s="35">
        <f>REFERENTIEL!J45</f>
        <v>1</v>
      </c>
      <c r="G45" s="41">
        <f ca="1">IF(SAISIE!$I60="","",IF($E45="Binaire",SAISIE!$I60*100,IF($E45="Maturité",(SAISIE!$I60-1)*25,IF(OR(SAISIE!$J60="",SAISIE!$J60=0),"",MIN(100,SAISIE!$I60*$F45/SAISIE!$J60*100)))))</f>
      </c>
      <c r="H45" s="39">
        <f t="shared" ca="1" si="0"/>
      </c>
      <c r="I45" s="35">
        <f ca="1">IF(SAISIE!$K60="NA",1,"")</f>
      </c>
      <c r="J45" s="35">
        <f ca="1">IF(AND(SAISIE!$K60&lt;&gt;"",SAISIE!$K60&lt;&gt;"OK",SAISIE!$K60&lt;&gt;"NA"),1,"")</f>
      </c>
      <c r="AE45" s="29">
        <f ca="1">IF($H45=1,COUNTIF($H$4:$H45,1),"")</f>
      </c>
      <c r="AF45" s="29">
        <f ca="1">IF(AND($G45&lt;&gt;"",$G45&gt;0,$G45&lt;$AF$1),COUNTIFS($G$4:$G45,"&gt;0",$G$4:$G45,"&lt;"&amp;$AF$1),"")</f>
      </c>
    </row>
    <row r="46" spans="1:32" ht="15.75" x14ac:dyDescent="0.25">
      <c r="A46" s="38" t="str">
        <f>REFERENTIEL!E46</f>
        <v>SE-PRV-3.3</v>
      </c>
      <c r="B46" s="35" t="str">
        <f>REFERENTIEL!A46</f>
        <v>Sécurité</v>
      </c>
      <c r="C46" s="35" t="str">
        <f>REFERENTIEL!B46</f>
        <v>Prévention</v>
      </c>
      <c r="D46" s="35" t="str">
        <f>REFERENTIEL!C46</f>
        <v>SE-PRV-3</v>
      </c>
      <c r="E46" s="35" t="str">
        <f>REFERENTIEL!H46</f>
        <v>Binaire</v>
      </c>
      <c r="F46" s="35">
        <f>REFERENTIEL!J46</f>
        <v>1</v>
      </c>
      <c r="G46" s="41">
        <f ca="1">IF(SAISIE!$I61="","",IF($E46="Binaire",SAISIE!$I61*100,IF($E46="Maturité",(SAISIE!$I61-1)*25,IF(OR(SAISIE!$J61="",SAISIE!$J61=0),"",MIN(100,SAISIE!$I61*$F46/SAISIE!$J61*100)))))</f>
      </c>
      <c r="H46" s="39">
        <f t="shared" ca="1" si="0"/>
      </c>
      <c r="I46" s="35">
        <f ca="1">IF(SAISIE!$K61="NA",1,"")</f>
      </c>
      <c r="J46" s="35">
        <f ca="1">IF(AND(SAISIE!$K61&lt;&gt;"",SAISIE!$K61&lt;&gt;"OK",SAISIE!$K61&lt;&gt;"NA"),1,"")</f>
      </c>
      <c r="AE46" s="29">
        <f ca="1">IF($H46=1,COUNTIF($H$4:$H46,1),"")</f>
      </c>
      <c r="AF46" s="29">
        <f ca="1">IF(AND($G46&lt;&gt;"",$G46&gt;0,$G46&lt;$AF$1),COUNTIFS($G$4:$G46,"&gt;0",$G$4:$G46,"&lt;"&amp;$AF$1),"")</f>
      </c>
    </row>
    <row r="47" spans="1:32" ht="15.75" x14ac:dyDescent="0.25">
      <c r="A47" s="38" t="str">
        <f>REFERENTIEL!E47</f>
        <v>SE-PRV-3.4</v>
      </c>
      <c r="B47" s="35" t="str">
        <f>REFERENTIEL!A47</f>
        <v>Sécurité</v>
      </c>
      <c r="C47" s="35" t="str">
        <f>REFERENTIEL!B47</f>
        <v>Prévention</v>
      </c>
      <c r="D47" s="35" t="str">
        <f>REFERENTIEL!C47</f>
        <v>SE-PRV-3</v>
      </c>
      <c r="E47" s="35" t="str">
        <f>REFERENTIEL!H47</f>
        <v>Binaire</v>
      </c>
      <c r="F47" s="35">
        <f>REFERENTIEL!J47</f>
        <v>1</v>
      </c>
      <c r="G47" s="41">
        <f ca="1">IF(SAISIE!$I62="","",IF($E47="Binaire",SAISIE!$I62*100,IF($E47="Maturité",(SAISIE!$I62-1)*25,IF(OR(SAISIE!$J62="",SAISIE!$J62=0),"",MIN(100,SAISIE!$I62*$F47/SAISIE!$J62*100)))))</f>
      </c>
      <c r="H47" s="39">
        <f t="shared" ca="1" si="0"/>
      </c>
      <c r="I47" s="35">
        <f ca="1">IF(SAISIE!$K62="NA",1,"")</f>
      </c>
      <c r="J47" s="35">
        <f ca="1">IF(AND(SAISIE!$K62&lt;&gt;"",SAISIE!$K62&lt;&gt;"OK",SAISIE!$K62&lt;&gt;"NA"),1,"")</f>
      </c>
      <c r="AE47" s="29">
        <f ca="1">IF($H47=1,COUNTIF($H$4:$H47,1),"")</f>
      </c>
      <c r="AF47" s="29">
        <f ca="1">IF(AND($G47&lt;&gt;"",$G47&gt;0,$G47&lt;$AF$1),COUNTIFS($G$4:$G47,"&gt;0",$G$4:$G47,"&lt;"&amp;$AF$1),"")</f>
      </c>
    </row>
    <row r="48" spans="1:32" ht="15.75" x14ac:dyDescent="0.25">
      <c r="A48" s="38" t="str">
        <f>REFERENTIEL!E48</f>
        <v>SE-PRT-1.1</v>
      </c>
      <c r="B48" s="35" t="str">
        <f>REFERENTIEL!A48</f>
        <v>Sécurité</v>
      </c>
      <c r="C48" s="38" t="str">
        <f>REFERENTIEL!B48</f>
        <v>Protection</v>
      </c>
      <c r="D48" s="35" t="str">
        <f>REFERENTIEL!C48</f>
        <v>SE-PRT-1</v>
      </c>
      <c r="E48" s="35" t="str">
        <f>REFERENTIEL!H48</f>
        <v>Maturité</v>
      </c>
      <c r="F48" s="35">
        <f>REFERENTIEL!J48</f>
        <v>1</v>
      </c>
      <c r="G48" s="41">
        <f ca="1">IF(SAISIE!$I63="","",IF($E48="Binaire",SAISIE!$I63*100,IF($E48="Maturité",(SAISIE!$I63-1)*25,IF(OR(SAISIE!$J63="",SAISIE!$J63=0),"",MIN(100,SAISIE!$I63*$F48/SAISIE!$J63*100)))))</f>
      </c>
      <c r="H48" s="39">
        <f t="shared" ca="1" si="0"/>
      </c>
      <c r="I48" s="35">
        <f ca="1">IF(SAISIE!$K63="NA",1,"")</f>
      </c>
      <c r="J48" s="35">
        <f ca="1">IF(AND(SAISIE!$K63&lt;&gt;"",SAISIE!$K63&lt;&gt;"OK",SAISIE!$K63&lt;&gt;"NA"),1,"")</f>
      </c>
      <c r="AE48" s="29">
        <f ca="1">IF($H48=1,COUNTIF($H$4:$H48,1),"")</f>
      </c>
      <c r="AF48" s="29">
        <f ca="1">IF(AND($G48&lt;&gt;"",$G48&gt;0,$G48&lt;$AF$1),COUNTIFS($G$4:$G48,"&gt;0",$G$4:$G48,"&lt;"&amp;$AF$1),"")</f>
      </c>
    </row>
    <row r="49" spans="1:32" ht="15.75" x14ac:dyDescent="0.25">
      <c r="A49" s="38" t="str">
        <f>REFERENTIEL!E49</f>
        <v>SE-PRT-1.2</v>
      </c>
      <c r="B49" s="35" t="str">
        <f>REFERENTIEL!A49</f>
        <v>Sécurité</v>
      </c>
      <c r="C49" s="35" t="str">
        <f>REFERENTIEL!B49</f>
        <v>Protection</v>
      </c>
      <c r="D49" s="35" t="str">
        <f>REFERENTIEL!C49</f>
        <v>SE-PRT-1</v>
      </c>
      <c r="E49" s="35" t="str">
        <f>REFERENTIEL!H49</f>
        <v>Binaire</v>
      </c>
      <c r="F49" s="35">
        <f>REFERENTIEL!J49</f>
        <v>1</v>
      </c>
      <c r="G49" s="41">
        <f ca="1">IF(SAISIE!$I64="","",IF($E49="Binaire",SAISIE!$I64*100,IF($E49="Maturité",(SAISIE!$I64-1)*25,IF(OR(SAISIE!$J64="",SAISIE!$J64=0),"",MIN(100,SAISIE!$I64*$F49/SAISIE!$J64*100)))))</f>
      </c>
      <c r="H49" s="39">
        <f t="shared" ca="1" si="0"/>
      </c>
      <c r="I49" s="35">
        <f ca="1">IF(SAISIE!$K64="NA",1,"")</f>
      </c>
      <c r="J49" s="35">
        <f ca="1">IF(AND(SAISIE!$K64&lt;&gt;"",SAISIE!$K64&lt;&gt;"OK",SAISIE!$K64&lt;&gt;"NA"),1,"")</f>
      </c>
      <c r="AE49" s="29">
        <f ca="1">IF($H49=1,COUNTIF($H$4:$H49,1),"")</f>
      </c>
      <c r="AF49" s="29">
        <f ca="1">IF(AND($G49&lt;&gt;"",$G49&gt;0,$G49&lt;$AF$1),COUNTIFS($G$4:$G49,"&gt;0",$G$4:$G49,"&lt;"&amp;$AF$1),"")</f>
      </c>
    </row>
    <row r="50" spans="1:32" ht="15.75" x14ac:dyDescent="0.25">
      <c r="A50" s="38" t="str">
        <f>REFERENTIEL!E50</f>
        <v>SE-PRT-1.3</v>
      </c>
      <c r="B50" s="35" t="str">
        <f>REFERENTIEL!A50</f>
        <v>Sécurité</v>
      </c>
      <c r="C50" s="35" t="str">
        <f>REFERENTIEL!B50</f>
        <v>Protection</v>
      </c>
      <c r="D50" s="35" t="str">
        <f>REFERENTIEL!C50</f>
        <v>SE-PRT-1</v>
      </c>
      <c r="E50" s="35" t="str">
        <f>REFERENTIEL!H50</f>
        <v>Binaire</v>
      </c>
      <c r="F50" s="35">
        <f>REFERENTIEL!J50</f>
        <v>1</v>
      </c>
      <c r="G50" s="41">
        <f ca="1">IF(SAISIE!$I65="","",IF($E50="Binaire",SAISIE!$I65*100,IF($E50="Maturité",(SAISIE!$I65-1)*25,IF(OR(SAISIE!$J65="",SAISIE!$J65=0),"",MIN(100,SAISIE!$I65*$F50/SAISIE!$J65*100)))))</f>
      </c>
      <c r="H50" s="39">
        <f t="shared" ca="1" si="0"/>
      </c>
      <c r="I50" s="35">
        <f ca="1">IF(SAISIE!$K65="NA",1,"")</f>
      </c>
      <c r="J50" s="35">
        <f ca="1">IF(AND(SAISIE!$K65&lt;&gt;"",SAISIE!$K65&lt;&gt;"OK",SAISIE!$K65&lt;&gt;"NA"),1,"")</f>
      </c>
      <c r="AE50" s="29">
        <f ca="1">IF($H50=1,COUNTIF($H$4:$H50,1),"")</f>
      </c>
      <c r="AF50" s="29">
        <f ca="1">IF(AND($G50&lt;&gt;"",$G50&gt;0,$G50&lt;$AF$1),COUNTIFS($G$4:$G50,"&gt;0",$G$4:$G50,"&lt;"&amp;$AF$1),"")</f>
      </c>
    </row>
    <row r="51" spans="1:32" ht="15.75" x14ac:dyDescent="0.25">
      <c r="A51" s="38" t="str">
        <f>REFERENTIEL!E51</f>
        <v>SE-PRT-1.4</v>
      </c>
      <c r="B51" s="35" t="str">
        <f>REFERENTIEL!A51</f>
        <v>Sécurité</v>
      </c>
      <c r="C51" s="35" t="str">
        <f>REFERENTIEL!B51</f>
        <v>Protection</v>
      </c>
      <c r="D51" s="35" t="str">
        <f>REFERENTIEL!C51</f>
        <v>SE-PRT-1</v>
      </c>
      <c r="E51" s="35" t="str">
        <f>REFERENTIEL!H51</f>
        <v>Binaire</v>
      </c>
      <c r="F51" s="35">
        <f>REFERENTIEL!J51</f>
        <v>1</v>
      </c>
      <c r="G51" s="41">
        <f ca="1">IF(SAISIE!$I66="","",IF($E51="Binaire",SAISIE!$I66*100,IF($E51="Maturité",(SAISIE!$I66-1)*25,IF(OR(SAISIE!$J66="",SAISIE!$J66=0),"",MIN(100,SAISIE!$I66*$F51/SAISIE!$J66*100)))))</f>
      </c>
      <c r="H51" s="39">
        <f t="shared" ca="1" si="0"/>
      </c>
      <c r="I51" s="35">
        <f ca="1">IF(SAISIE!$K66="NA",1,"")</f>
      </c>
      <c r="J51" s="35">
        <f ca="1">IF(AND(SAISIE!$K66&lt;&gt;"",SAISIE!$K66&lt;&gt;"OK",SAISIE!$K66&lt;&gt;"NA"),1,"")</f>
      </c>
      <c r="AE51" s="29">
        <f ca="1">IF($H51=1,COUNTIF($H$4:$H51,1),"")</f>
      </c>
      <c r="AF51" s="29">
        <f ca="1">IF(AND($G51&lt;&gt;"",$G51&gt;0,$G51&lt;$AF$1),COUNTIFS($G$4:$G51,"&gt;0",$G$4:$G51,"&lt;"&amp;$AF$1),"")</f>
      </c>
    </row>
    <row r="52" spans="1:32" ht="15.75" x14ac:dyDescent="0.25">
      <c r="A52" s="38" t="str">
        <f>REFERENTIEL!E52</f>
        <v>SE-PRT-2.1</v>
      </c>
      <c r="B52" s="35" t="str">
        <f>REFERENTIEL!A52</f>
        <v>Sécurité</v>
      </c>
      <c r="C52" s="35" t="str">
        <f>REFERENTIEL!B52</f>
        <v>Protection</v>
      </c>
      <c r="D52" s="35" t="str">
        <f>REFERENTIEL!C52</f>
        <v>SE-PRT-2</v>
      </c>
      <c r="E52" s="35" t="str">
        <f>REFERENTIEL!H52</f>
        <v>Binaire</v>
      </c>
      <c r="F52" s="35">
        <f>REFERENTIEL!J52</f>
        <v>1</v>
      </c>
      <c r="G52" s="41">
        <f ca="1">IF(SAISIE!$I67="","",IF($E52="Binaire",SAISIE!$I67*100,IF($E52="Maturité",(SAISIE!$I67-1)*25,IF(OR(SAISIE!$J67="",SAISIE!$J67=0),"",MIN(100,SAISIE!$I67*$F52/SAISIE!$J67*100)))))</f>
      </c>
      <c r="H52" s="39">
        <f t="shared" ca="1" si="0"/>
      </c>
      <c r="I52" s="35">
        <f ca="1">IF(SAISIE!$K67="NA",1,"")</f>
      </c>
      <c r="J52" s="35">
        <f ca="1">IF(AND(SAISIE!$K67&lt;&gt;"",SAISIE!$K67&lt;&gt;"OK",SAISIE!$K67&lt;&gt;"NA"),1,"")</f>
      </c>
      <c r="AE52" s="29">
        <f ca="1">IF($H52=1,COUNTIF($H$4:$H52,1),"")</f>
      </c>
      <c r="AF52" s="29">
        <f ca="1">IF(AND($G52&lt;&gt;"",$G52&gt;0,$G52&lt;$AF$1),COUNTIFS($G$4:$G52,"&gt;0",$G$4:$G52,"&lt;"&amp;$AF$1),"")</f>
      </c>
    </row>
    <row r="53" spans="1:32" ht="15.75" x14ac:dyDescent="0.25">
      <c r="A53" s="38" t="str">
        <f>REFERENTIEL!E53</f>
        <v>SE-PRT-2.2</v>
      </c>
      <c r="B53" s="35" t="str">
        <f>REFERENTIEL!A53</f>
        <v>Sécurité</v>
      </c>
      <c r="C53" s="35" t="str">
        <f>REFERENTIEL!B53</f>
        <v>Protection</v>
      </c>
      <c r="D53" s="35" t="str">
        <f>REFERENTIEL!C53</f>
        <v>SE-PRT-2</v>
      </c>
      <c r="E53" s="35" t="str">
        <f>REFERENTIEL!H53</f>
        <v>Binaire</v>
      </c>
      <c r="F53" s="35">
        <f>REFERENTIEL!J53</f>
        <v>1</v>
      </c>
      <c r="G53" s="41">
        <f ca="1">IF(SAISIE!$I68="","",IF($E53="Binaire",SAISIE!$I68*100,IF($E53="Maturité",(SAISIE!$I68-1)*25,IF(OR(SAISIE!$J68="",SAISIE!$J68=0),"",MIN(100,SAISIE!$I68*$F53/SAISIE!$J68*100)))))</f>
      </c>
      <c r="H53" s="39">
        <f t="shared" ca="1" si="0"/>
      </c>
      <c r="I53" s="35">
        <f ca="1">IF(SAISIE!$K68="NA",1,"")</f>
      </c>
      <c r="J53" s="35">
        <f ca="1">IF(AND(SAISIE!$K68&lt;&gt;"",SAISIE!$K68&lt;&gt;"OK",SAISIE!$K68&lt;&gt;"NA"),1,"")</f>
      </c>
      <c r="AE53" s="29">
        <f ca="1">IF($H53=1,COUNTIF($H$4:$H53,1),"")</f>
      </c>
      <c r="AF53" s="29">
        <f ca="1">IF(AND($G53&lt;&gt;"",$G53&gt;0,$G53&lt;$AF$1),COUNTIFS($G$4:$G53,"&gt;0",$G$4:$G53,"&lt;"&amp;$AF$1),"")</f>
      </c>
    </row>
    <row r="54" spans="1:32" ht="15.75" x14ac:dyDescent="0.25">
      <c r="A54" s="38" t="str">
        <f>REFERENTIEL!E54</f>
        <v>SE-PRT-2.3</v>
      </c>
      <c r="B54" s="35" t="str">
        <f>REFERENTIEL!A54</f>
        <v>Sécurité</v>
      </c>
      <c r="C54" s="35" t="str">
        <f>REFERENTIEL!B54</f>
        <v>Protection</v>
      </c>
      <c r="D54" s="35" t="str">
        <f>REFERENTIEL!C54</f>
        <v>SE-PRT-2</v>
      </c>
      <c r="E54" s="35" t="str">
        <f>REFERENTIEL!H54</f>
        <v>Binaire</v>
      </c>
      <c r="F54" s="35">
        <f>REFERENTIEL!J54</f>
        <v>1</v>
      </c>
      <c r="G54" s="41">
        <f ca="1">IF(SAISIE!$I69="","",IF($E54="Binaire",SAISIE!$I69*100,IF($E54="Maturité",(SAISIE!$I69-1)*25,IF(OR(SAISIE!$J69="",SAISIE!$J69=0),"",MIN(100,SAISIE!$I69*$F54/SAISIE!$J69*100)))))</f>
      </c>
      <c r="H54" s="39">
        <f t="shared" ca="1" si="0"/>
      </c>
      <c r="I54" s="35">
        <f ca="1">IF(SAISIE!$K69="NA",1,"")</f>
      </c>
      <c r="J54" s="35">
        <f ca="1">IF(AND(SAISIE!$K69&lt;&gt;"",SAISIE!$K69&lt;&gt;"OK",SAISIE!$K69&lt;&gt;"NA"),1,"")</f>
      </c>
      <c r="AE54" s="29">
        <f ca="1">IF($H54=1,COUNTIF($H$4:$H54,1),"")</f>
      </c>
      <c r="AF54" s="29">
        <f ca="1">IF(AND($G54&lt;&gt;"",$G54&gt;0,$G54&lt;$AF$1),COUNTIFS($G$4:$G54,"&gt;0",$G$4:$G54,"&lt;"&amp;$AF$1),"")</f>
      </c>
    </row>
    <row r="55" spans="1:32" ht="15.75" x14ac:dyDescent="0.25">
      <c r="A55" s="38" t="str">
        <f>REFERENTIEL!E55</f>
        <v>SE-PRT-2.4</v>
      </c>
      <c r="B55" s="35" t="str">
        <f>REFERENTIEL!A55</f>
        <v>Sécurité</v>
      </c>
      <c r="C55" s="35" t="str">
        <f>REFERENTIEL!B55</f>
        <v>Protection</v>
      </c>
      <c r="D55" s="35" t="str">
        <f>REFERENTIEL!C55</f>
        <v>SE-PRT-2</v>
      </c>
      <c r="E55" s="35" t="str">
        <f>REFERENTIEL!H55</f>
        <v>Binaire</v>
      </c>
      <c r="F55" s="35">
        <f>REFERENTIEL!J55</f>
        <v>1</v>
      </c>
      <c r="G55" s="41">
        <f ca="1">IF(SAISIE!$I70="","",IF($E55="Binaire",SAISIE!$I70*100,IF($E55="Maturité",(SAISIE!$I70-1)*25,IF(OR(SAISIE!$J70="",SAISIE!$J70=0),"",MIN(100,SAISIE!$I70*$F55/SAISIE!$J70*100)))))</f>
      </c>
      <c r="H55" s="39">
        <f t="shared" ca="1" si="0"/>
      </c>
      <c r="I55" s="35">
        <f ca="1">IF(SAISIE!$K70="NA",1,"")</f>
      </c>
      <c r="J55" s="35">
        <f ca="1">IF(AND(SAISIE!$K70&lt;&gt;"",SAISIE!$K70&lt;&gt;"OK",SAISIE!$K70&lt;&gt;"NA"),1,"")</f>
      </c>
      <c r="AE55" s="29">
        <f ca="1">IF($H55=1,COUNTIF($H$4:$H55,1),"")</f>
      </c>
      <c r="AF55" s="29">
        <f ca="1">IF(AND($G55&lt;&gt;"",$G55&gt;0,$G55&lt;$AF$1),COUNTIFS($G$4:$G55,"&gt;0",$G$4:$G55,"&lt;"&amp;$AF$1),"")</f>
      </c>
    </row>
    <row r="56" spans="1:32" ht="15.75" x14ac:dyDescent="0.25">
      <c r="A56" s="38" t="str">
        <f>REFERENTIEL!E56</f>
        <v>SE-PRT-3.1</v>
      </c>
      <c r="B56" s="35" t="str">
        <f>REFERENTIEL!A56</f>
        <v>Sécurité</v>
      </c>
      <c r="C56" s="35" t="str">
        <f>REFERENTIEL!B56</f>
        <v>Protection</v>
      </c>
      <c r="D56" s="35" t="str">
        <f>REFERENTIEL!C56</f>
        <v>SE-PRT-3</v>
      </c>
      <c r="E56" s="35" t="str">
        <f>REFERENTIEL!H56</f>
        <v>Binaire</v>
      </c>
      <c r="F56" s="35">
        <f>REFERENTIEL!J56</f>
        <v>1</v>
      </c>
      <c r="G56" s="41">
        <f ca="1">IF(SAISIE!$I71="","",IF($E56="Binaire",SAISIE!$I71*100,IF($E56="Maturité",(SAISIE!$I71-1)*25,IF(OR(SAISIE!$J71="",SAISIE!$J71=0),"",MIN(100,SAISIE!$I71*$F56/SAISIE!$J71*100)))))</f>
      </c>
      <c r="H56" s="39">
        <f t="shared" ca="1" si="0"/>
      </c>
      <c r="I56" s="35">
        <f ca="1">IF(SAISIE!$K71="NA",1,"")</f>
      </c>
      <c r="J56" s="35">
        <f ca="1">IF(AND(SAISIE!$K71&lt;&gt;"",SAISIE!$K71&lt;&gt;"OK",SAISIE!$K71&lt;&gt;"NA"),1,"")</f>
      </c>
      <c r="AE56" s="29">
        <f ca="1">IF($H56=1,COUNTIF($H$4:$H56,1),"")</f>
      </c>
      <c r="AF56" s="29">
        <f ca="1">IF(AND($G56&lt;&gt;"",$G56&gt;0,$G56&lt;$AF$1),COUNTIFS($G$4:$G56,"&gt;0",$G$4:$G56,"&lt;"&amp;$AF$1),"")</f>
      </c>
    </row>
    <row r="57" spans="1:32" ht="15.75" x14ac:dyDescent="0.25">
      <c r="A57" s="38" t="str">
        <f>REFERENTIEL!E57</f>
        <v>SE-PRT-3.2</v>
      </c>
      <c r="B57" s="35" t="str">
        <f>REFERENTIEL!A57</f>
        <v>Sécurité</v>
      </c>
      <c r="C57" s="35" t="str">
        <f>REFERENTIEL!B57</f>
        <v>Protection</v>
      </c>
      <c r="D57" s="35" t="str">
        <f>REFERENTIEL!C57</f>
        <v>SE-PRT-3</v>
      </c>
      <c r="E57" s="35" t="str">
        <f>REFERENTIEL!H57</f>
        <v>Binaire</v>
      </c>
      <c r="F57" s="35">
        <f>REFERENTIEL!J57</f>
        <v>1</v>
      </c>
      <c r="G57" s="41">
        <f ca="1">IF(SAISIE!$I72="","",IF($E57="Binaire",SAISIE!$I72*100,IF($E57="Maturité",(SAISIE!$I72-1)*25,IF(OR(SAISIE!$J72="",SAISIE!$J72=0),"",MIN(100,SAISIE!$I72*$F57/SAISIE!$J72*100)))))</f>
      </c>
      <c r="H57" s="39">
        <f t="shared" ca="1" si="0"/>
      </c>
      <c r="I57" s="35">
        <f ca="1">IF(SAISIE!$K72="NA",1,"")</f>
      </c>
      <c r="J57" s="35">
        <f ca="1">IF(AND(SAISIE!$K72&lt;&gt;"",SAISIE!$K72&lt;&gt;"OK",SAISIE!$K72&lt;&gt;"NA"),1,"")</f>
      </c>
      <c r="AE57" s="29">
        <f ca="1">IF($H57=1,COUNTIF($H$4:$H57,1),"")</f>
      </c>
      <c r="AF57" s="29">
        <f ca="1">IF(AND($G57&lt;&gt;"",$G57&gt;0,$G57&lt;$AF$1),COUNTIFS($G$4:$G57,"&gt;0",$G$4:$G57,"&lt;"&amp;$AF$1),"")</f>
      </c>
    </row>
    <row r="58" spans="1:32" ht="15.75" x14ac:dyDescent="0.25">
      <c r="A58" s="38" t="str">
        <f>REFERENTIEL!E58</f>
        <v>SE-PRT-3.3</v>
      </c>
      <c r="B58" s="35" t="str">
        <f>REFERENTIEL!A58</f>
        <v>Sécurité</v>
      </c>
      <c r="C58" s="35" t="str">
        <f>REFERENTIEL!B58</f>
        <v>Protection</v>
      </c>
      <c r="D58" s="35" t="str">
        <f>REFERENTIEL!C58</f>
        <v>SE-PRT-3</v>
      </c>
      <c r="E58" s="35" t="str">
        <f>REFERENTIEL!H58</f>
        <v>Binaire</v>
      </c>
      <c r="F58" s="35">
        <f>REFERENTIEL!J58</f>
        <v>1</v>
      </c>
      <c r="G58" s="41">
        <f ca="1">IF(SAISIE!$I73="","",IF($E58="Binaire",SAISIE!$I73*100,IF($E58="Maturité",(SAISIE!$I73-1)*25,IF(OR(SAISIE!$J73="",SAISIE!$J73=0),"",MIN(100,SAISIE!$I73*$F58/SAISIE!$J73*100)))))</f>
      </c>
      <c r="H58" s="39">
        <f t="shared" ca="1" si="0"/>
      </c>
      <c r="I58" s="35">
        <f ca="1">IF(SAISIE!$K73="NA",1,"")</f>
      </c>
      <c r="J58" s="35">
        <f ca="1">IF(AND(SAISIE!$K73&lt;&gt;"",SAISIE!$K73&lt;&gt;"OK",SAISIE!$K73&lt;&gt;"NA"),1,"")</f>
      </c>
      <c r="AE58" s="29">
        <f ca="1">IF($H58=1,COUNTIF($H$4:$H58,1),"")</f>
      </c>
      <c r="AF58" s="29">
        <f ca="1">IF(AND($G58&lt;&gt;"",$G58&gt;0,$G58&lt;$AF$1),COUNTIFS($G$4:$G58,"&gt;0",$G$4:$G58,"&lt;"&amp;$AF$1),"")</f>
      </c>
    </row>
    <row r="59" spans="1:32" ht="15.75" x14ac:dyDescent="0.25">
      <c r="A59" s="38" t="str">
        <f>REFERENTIEL!E59</f>
        <v>SE-PRT-3.4</v>
      </c>
      <c r="B59" s="35" t="str">
        <f>REFERENTIEL!A59</f>
        <v>Sécurité</v>
      </c>
      <c r="C59" s="35" t="str">
        <f>REFERENTIEL!B59</f>
        <v>Protection</v>
      </c>
      <c r="D59" s="35" t="str">
        <f>REFERENTIEL!C59</f>
        <v>SE-PRT-3</v>
      </c>
      <c r="E59" s="35" t="str">
        <f>REFERENTIEL!H59</f>
        <v>Binaire</v>
      </c>
      <c r="F59" s="35">
        <f>REFERENTIEL!J59</f>
        <v>1</v>
      </c>
      <c r="G59" s="41">
        <f ca="1">IF(SAISIE!$I74="","",IF($E59="Binaire",SAISIE!$I74*100,IF($E59="Maturité",(SAISIE!$I74-1)*25,IF(OR(SAISIE!$J74="",SAISIE!$J74=0),"",MIN(100,SAISIE!$I74*$F59/SAISIE!$J74*100)))))</f>
      </c>
      <c r="H59" s="39">
        <f t="shared" ca="1" si="0"/>
      </c>
      <c r="I59" s="35">
        <f ca="1">IF(SAISIE!$K74="NA",1,"")</f>
      </c>
      <c r="J59" s="35">
        <f ca="1">IF(AND(SAISIE!$K74&lt;&gt;"",SAISIE!$K74&lt;&gt;"OK",SAISIE!$K74&lt;&gt;"NA"),1,"")</f>
      </c>
      <c r="AE59" s="29">
        <f ca="1">IF($H59=1,COUNTIF($H$4:$H59,1),"")</f>
      </c>
      <c r="AF59" s="29">
        <f ca="1">IF(AND($G59&lt;&gt;"",$G59&gt;0,$G59&lt;$AF$1),COUNTIFS($G$4:$G59,"&gt;0",$G$4:$G59,"&lt;"&amp;$AF$1),"")</f>
      </c>
    </row>
    <row r="60" spans="1:32" ht="15.75" x14ac:dyDescent="0.25">
      <c r="A60" s="38" t="str">
        <f>REFERENTIEL!E60</f>
        <v>SE-CNF-1.1</v>
      </c>
      <c r="B60" s="35" t="str">
        <f>REFERENTIEL!A60</f>
        <v>Sécurité</v>
      </c>
      <c r="C60" s="38" t="str">
        <f>REFERENTIEL!B60</f>
        <v>Conformité</v>
      </c>
      <c r="D60" s="35" t="str">
        <f>REFERENTIEL!C60</f>
        <v>SE-CNF-1</v>
      </c>
      <c r="E60" s="35" t="str">
        <f>REFERENTIEL!H60</f>
        <v>Binaire</v>
      </c>
      <c r="F60" s="35">
        <f>REFERENTIEL!J60</f>
        <v>1</v>
      </c>
      <c r="G60" s="41">
        <f ca="1">IF(SAISIE!$I75="","",IF($E60="Binaire",SAISIE!$I75*100,IF($E60="Maturité",(SAISIE!$I75-1)*25,IF(OR(SAISIE!$J75="",SAISIE!$J75=0),"",MIN(100,SAISIE!$I75*$F60/SAISIE!$J75*100)))))</f>
      </c>
      <c r="H60" s="39">
        <f t="shared" ca="1" si="0"/>
      </c>
      <c r="I60" s="35">
        <f ca="1">IF(SAISIE!$K75="NA",1,"")</f>
      </c>
      <c r="J60" s="35">
        <f ca="1">IF(AND(SAISIE!$K75&lt;&gt;"",SAISIE!$K75&lt;&gt;"OK",SAISIE!$K75&lt;&gt;"NA"),1,"")</f>
      </c>
      <c r="AE60" s="29">
        <f ca="1">IF($H60=1,COUNTIF($H$4:$H60,1),"")</f>
      </c>
      <c r="AF60" s="29">
        <f ca="1">IF(AND($G60&lt;&gt;"",$G60&gt;0,$G60&lt;$AF$1),COUNTIFS($G$4:$G60,"&gt;0",$G$4:$G60,"&lt;"&amp;$AF$1),"")</f>
      </c>
    </row>
    <row r="61" spans="1:32" ht="15.75" x14ac:dyDescent="0.25">
      <c r="A61" s="38" t="str">
        <f>REFERENTIEL!E61</f>
        <v>SE-CNF-1.2</v>
      </c>
      <c r="B61" s="35" t="str">
        <f>REFERENTIEL!A61</f>
        <v>Sécurité</v>
      </c>
      <c r="C61" s="35" t="str">
        <f>REFERENTIEL!B61</f>
        <v>Conformité</v>
      </c>
      <c r="D61" s="35" t="str">
        <f>REFERENTIEL!C61</f>
        <v>SE-CNF-1</v>
      </c>
      <c r="E61" s="35" t="str">
        <f>REFERENTIEL!H61</f>
        <v>Binaire</v>
      </c>
      <c r="F61" s="35">
        <f>REFERENTIEL!J61</f>
        <v>1</v>
      </c>
      <c r="G61" s="41">
        <f ca="1">IF(SAISIE!$I76="","",IF($E61="Binaire",SAISIE!$I76*100,IF($E61="Maturité",(SAISIE!$I76-1)*25,IF(OR(SAISIE!$J76="",SAISIE!$J76=0),"",MIN(100,SAISIE!$I76*$F61/SAISIE!$J76*100)))))</f>
      </c>
      <c r="H61" s="39">
        <f t="shared" ca="1" si="0"/>
      </c>
      <c r="I61" s="35">
        <f ca="1">IF(SAISIE!$K76="NA",1,"")</f>
      </c>
      <c r="J61" s="35">
        <f ca="1">IF(AND(SAISIE!$K76&lt;&gt;"",SAISIE!$K76&lt;&gt;"OK",SAISIE!$K76&lt;&gt;"NA"),1,"")</f>
      </c>
      <c r="AE61" s="29">
        <f ca="1">IF($H61=1,COUNTIF($H$4:$H61,1),"")</f>
      </c>
      <c r="AF61" s="29">
        <f ca="1">IF(AND($G61&lt;&gt;"",$G61&gt;0,$G61&lt;$AF$1),COUNTIFS($G$4:$G61,"&gt;0",$G$4:$G61,"&lt;"&amp;$AF$1),"")</f>
      </c>
    </row>
    <row r="62" spans="1:32" ht="15.75" x14ac:dyDescent="0.25">
      <c r="A62" s="38" t="str">
        <f>REFERENTIEL!E62</f>
        <v>SE-CNF-1.3</v>
      </c>
      <c r="B62" s="35" t="str">
        <f>REFERENTIEL!A62</f>
        <v>Sécurité</v>
      </c>
      <c r="C62" s="35" t="str">
        <f>REFERENTIEL!B62</f>
        <v>Conformité</v>
      </c>
      <c r="D62" s="35" t="str">
        <f>REFERENTIEL!C62</f>
        <v>SE-CNF-1</v>
      </c>
      <c r="E62" s="35" t="str">
        <f>REFERENTIEL!H62</f>
        <v>Binaire</v>
      </c>
      <c r="F62" s="35">
        <f>REFERENTIEL!J62</f>
        <v>1</v>
      </c>
      <c r="G62" s="41">
        <f ca="1">IF(SAISIE!$I77="","",IF($E62="Binaire",SAISIE!$I77*100,IF($E62="Maturité",(SAISIE!$I77-1)*25,IF(OR(SAISIE!$J77="",SAISIE!$J77=0),"",MIN(100,SAISIE!$I77*$F62/SAISIE!$J77*100)))))</f>
      </c>
      <c r="H62" s="39">
        <f t="shared" ca="1" si="0"/>
      </c>
      <c r="I62" s="35">
        <f ca="1">IF(SAISIE!$K77="NA",1,"")</f>
      </c>
      <c r="J62" s="35">
        <f ca="1">IF(AND(SAISIE!$K77&lt;&gt;"",SAISIE!$K77&lt;&gt;"OK",SAISIE!$K77&lt;&gt;"NA"),1,"")</f>
      </c>
      <c r="AE62" s="29">
        <f ca="1">IF($H62=1,COUNTIF($H$4:$H62,1),"")</f>
      </c>
      <c r="AF62" s="29">
        <f ca="1">IF(AND($G62&lt;&gt;"",$G62&gt;0,$G62&lt;$AF$1),COUNTIFS($G$4:$G62,"&gt;0",$G$4:$G62,"&lt;"&amp;$AF$1),"")</f>
      </c>
    </row>
    <row r="63" spans="1:32" ht="15.75" x14ac:dyDescent="0.25">
      <c r="A63" s="38" t="str">
        <f>REFERENTIEL!E63</f>
        <v>SE-CNF-1.4</v>
      </c>
      <c r="B63" s="35" t="str">
        <f>REFERENTIEL!A63</f>
        <v>Sécurité</v>
      </c>
      <c r="C63" s="35" t="str">
        <f>REFERENTIEL!B63</f>
        <v>Conformité</v>
      </c>
      <c r="D63" s="35" t="str">
        <f>REFERENTIEL!C63</f>
        <v>SE-CNF-1</v>
      </c>
      <c r="E63" s="35" t="str">
        <f>REFERENTIEL!H63</f>
        <v>Binaire</v>
      </c>
      <c r="F63" s="35">
        <f>REFERENTIEL!J63</f>
        <v>1</v>
      </c>
      <c r="G63" s="41">
        <f ca="1">IF(SAISIE!$I78="","",IF($E63="Binaire",SAISIE!$I78*100,IF($E63="Maturité",(SAISIE!$I78-1)*25,IF(OR(SAISIE!$J78="",SAISIE!$J78=0),"",MIN(100,SAISIE!$I78*$F63/SAISIE!$J78*100)))))</f>
      </c>
      <c r="H63" s="39">
        <f t="shared" ca="1" si="0"/>
      </c>
      <c r="I63" s="35">
        <f ca="1">IF(SAISIE!$K78="NA",1,"")</f>
      </c>
      <c r="J63" s="35">
        <f ca="1">IF(AND(SAISIE!$K78&lt;&gt;"",SAISIE!$K78&lt;&gt;"OK",SAISIE!$K78&lt;&gt;"NA"),1,"")</f>
      </c>
      <c r="AE63" s="29">
        <f ca="1">IF($H63=1,COUNTIF($H$4:$H63,1),"")</f>
      </c>
      <c r="AF63" s="29">
        <f ca="1">IF(AND($G63&lt;&gt;"",$G63&gt;0,$G63&lt;$AF$1),COUNTIFS($G$4:$G63,"&gt;0",$G$4:$G63,"&lt;"&amp;$AF$1),"")</f>
      </c>
    </row>
    <row r="64" spans="1:32" ht="15.75" x14ac:dyDescent="0.25">
      <c r="A64" s="38" t="str">
        <f>REFERENTIEL!E64</f>
        <v>SE-CNF-2.1</v>
      </c>
      <c r="B64" s="35" t="str">
        <f>REFERENTIEL!A64</f>
        <v>Sécurité</v>
      </c>
      <c r="C64" s="35" t="str">
        <f>REFERENTIEL!B64</f>
        <v>Conformité</v>
      </c>
      <c r="D64" s="35" t="str">
        <f>REFERENTIEL!C64</f>
        <v>SE-CNF-2</v>
      </c>
      <c r="E64" s="35" t="str">
        <f>REFERENTIEL!H64</f>
        <v>Binaire</v>
      </c>
      <c r="F64" s="35">
        <f>REFERENTIEL!J64</f>
        <v>1</v>
      </c>
      <c r="G64" s="41">
        <f ca="1">IF(SAISIE!$I79="","",IF($E64="Binaire",SAISIE!$I79*100,IF($E64="Maturité",(SAISIE!$I79-1)*25,IF(OR(SAISIE!$J79="",SAISIE!$J79=0),"",MIN(100,SAISIE!$I79*$F64/SAISIE!$J79*100)))))</f>
      </c>
      <c r="H64" s="39">
        <f t="shared" ca="1" si="0"/>
      </c>
      <c r="I64" s="35">
        <f ca="1">IF(SAISIE!$K79="NA",1,"")</f>
      </c>
      <c r="J64" s="35">
        <f ca="1">IF(AND(SAISIE!$K79&lt;&gt;"",SAISIE!$K79&lt;&gt;"OK",SAISIE!$K79&lt;&gt;"NA"),1,"")</f>
      </c>
      <c r="AE64" s="29">
        <f ca="1">IF($H64=1,COUNTIF($H$4:$H64,1),"")</f>
      </c>
      <c r="AF64" s="29">
        <f ca="1">IF(AND($G64&lt;&gt;"",$G64&gt;0,$G64&lt;$AF$1),COUNTIFS($G$4:$G64,"&gt;0",$G$4:$G64,"&lt;"&amp;$AF$1),"")</f>
      </c>
    </row>
    <row r="65" spans="1:32" ht="15.75" x14ac:dyDescent="0.25">
      <c r="A65" s="38" t="str">
        <f>REFERENTIEL!E65</f>
        <v>SE-CNF-2.2</v>
      </c>
      <c r="B65" s="35" t="str">
        <f>REFERENTIEL!A65</f>
        <v>Sécurité</v>
      </c>
      <c r="C65" s="35" t="str">
        <f>REFERENTIEL!B65</f>
        <v>Conformité</v>
      </c>
      <c r="D65" s="35" t="str">
        <f>REFERENTIEL!C65</f>
        <v>SE-CNF-2</v>
      </c>
      <c r="E65" s="35" t="str">
        <f>REFERENTIEL!H65</f>
        <v>Binaire</v>
      </c>
      <c r="F65" s="35">
        <f>REFERENTIEL!J65</f>
        <v>1</v>
      </c>
      <c r="G65" s="41">
        <f ca="1">IF(SAISIE!$I80="","",IF($E65="Binaire",SAISIE!$I80*100,IF($E65="Maturité",(SAISIE!$I80-1)*25,IF(OR(SAISIE!$J80="",SAISIE!$J80=0),"",MIN(100,SAISIE!$I80*$F65/SAISIE!$J80*100)))))</f>
      </c>
      <c r="H65" s="39">
        <f t="shared" ca="1" si="0"/>
      </c>
      <c r="I65" s="35">
        <f ca="1">IF(SAISIE!$K80="NA",1,"")</f>
      </c>
      <c r="J65" s="35">
        <f ca="1">IF(AND(SAISIE!$K80&lt;&gt;"",SAISIE!$K80&lt;&gt;"OK",SAISIE!$K80&lt;&gt;"NA"),1,"")</f>
      </c>
      <c r="AE65" s="29">
        <f ca="1">IF($H65=1,COUNTIF($H$4:$H65,1),"")</f>
      </c>
      <c r="AF65" s="29">
        <f ca="1">IF(AND($G65&lt;&gt;"",$G65&gt;0,$G65&lt;$AF$1),COUNTIFS($G$4:$G65,"&gt;0",$G$4:$G65,"&lt;"&amp;$AF$1),"")</f>
      </c>
    </row>
    <row r="66" spans="1:32" ht="15.75" x14ac:dyDescent="0.25">
      <c r="A66" s="38" t="str">
        <f>REFERENTIEL!E66</f>
        <v>SE-CNF-2.3</v>
      </c>
      <c r="B66" s="35" t="str">
        <f>REFERENTIEL!A66</f>
        <v>Sécurité</v>
      </c>
      <c r="C66" s="35" t="str">
        <f>REFERENTIEL!B66</f>
        <v>Conformité</v>
      </c>
      <c r="D66" s="35" t="str">
        <f>REFERENTIEL!C66</f>
        <v>SE-CNF-2</v>
      </c>
      <c r="E66" s="35" t="str">
        <f>REFERENTIEL!H66</f>
        <v>Binaire</v>
      </c>
      <c r="F66" s="35">
        <f>REFERENTIEL!J66</f>
        <v>1</v>
      </c>
      <c r="G66" s="41">
        <f ca="1">IF(SAISIE!$I81="","",IF($E66="Binaire",SAISIE!$I81*100,IF($E66="Maturité",(SAISIE!$I81-1)*25,IF(OR(SAISIE!$J81="",SAISIE!$J81=0),"",MIN(100,SAISIE!$I81*$F66/SAISIE!$J81*100)))))</f>
      </c>
      <c r="H66" s="39">
        <f t="shared" ca="1" si="0"/>
      </c>
      <c r="I66" s="35">
        <f ca="1">IF(SAISIE!$K81="NA",1,"")</f>
      </c>
      <c r="J66" s="35">
        <f ca="1">IF(AND(SAISIE!$K81&lt;&gt;"",SAISIE!$K81&lt;&gt;"OK",SAISIE!$K81&lt;&gt;"NA"),1,"")</f>
      </c>
      <c r="AE66" s="29">
        <f ca="1">IF($H66=1,COUNTIF($H$4:$H66,1),"")</f>
      </c>
      <c r="AF66" s="29">
        <f ca="1">IF(AND($G66&lt;&gt;"",$G66&gt;0,$G66&lt;$AF$1),COUNTIFS($G$4:$G66,"&gt;0",$G$4:$G66,"&lt;"&amp;$AF$1),"")</f>
      </c>
    </row>
    <row r="67" spans="1:32" ht="15.75" x14ac:dyDescent="0.25">
      <c r="A67" s="38" t="str">
        <f>REFERENTIEL!E67</f>
        <v>SE-CNF-2.4</v>
      </c>
      <c r="B67" s="35" t="str">
        <f>REFERENTIEL!A67</f>
        <v>Sécurité</v>
      </c>
      <c r="C67" s="35" t="str">
        <f>REFERENTIEL!B67</f>
        <v>Conformité</v>
      </c>
      <c r="D67" s="35" t="str">
        <f>REFERENTIEL!C67</f>
        <v>SE-CNF-2</v>
      </c>
      <c r="E67" s="35" t="str">
        <f>REFERENTIEL!H67</f>
        <v>Binaire</v>
      </c>
      <c r="F67" s="35">
        <f>REFERENTIEL!J67</f>
        <v>1</v>
      </c>
      <c r="G67" s="41">
        <f ca="1">IF(SAISIE!$I82="","",IF($E67="Binaire",SAISIE!$I82*100,IF($E67="Maturité",(SAISIE!$I82-1)*25,IF(OR(SAISIE!$J82="",SAISIE!$J82=0),"",MIN(100,SAISIE!$I82*$F67/SAISIE!$J82*100)))))</f>
      </c>
      <c r="H67" s="39">
        <f t="shared" ca="1" si="0"/>
      </c>
      <c r="I67" s="35">
        <f ca="1">IF(SAISIE!$K82="NA",1,"")</f>
      </c>
      <c r="J67" s="35">
        <f ca="1">IF(AND(SAISIE!$K82&lt;&gt;"",SAISIE!$K82&lt;&gt;"OK",SAISIE!$K82&lt;&gt;"NA"),1,"")</f>
      </c>
      <c r="AE67" s="29">
        <f ca="1">IF($H67=1,COUNTIF($H$4:$H67,1),"")</f>
      </c>
      <c r="AF67" s="29">
        <f ca="1">IF(AND($G67&lt;&gt;"",$G67&gt;0,$G67&lt;$AF$1),COUNTIFS($G$4:$G67,"&gt;0",$G$4:$G67,"&lt;"&amp;$AF$1),"")</f>
      </c>
    </row>
    <row r="68" spans="1:32" ht="15.75" x14ac:dyDescent="0.25">
      <c r="A68" s="38" t="str">
        <f>REFERENTIEL!E68</f>
        <v>SE-CNF-3.1</v>
      </c>
      <c r="B68" s="35" t="str">
        <f>REFERENTIEL!A68</f>
        <v>Sécurité</v>
      </c>
      <c r="C68" s="35" t="str">
        <f>REFERENTIEL!B68</f>
        <v>Conformité</v>
      </c>
      <c r="D68" s="35" t="str">
        <f>REFERENTIEL!C68</f>
        <v>SE-CNF-3</v>
      </c>
      <c r="E68" s="35" t="str">
        <f>REFERENTIEL!H68</f>
        <v>Binaire</v>
      </c>
      <c r="F68" s="35">
        <f>REFERENTIEL!J68</f>
        <v>1</v>
      </c>
      <c r="G68" s="41">
        <f ca="1">IF(SAISIE!$I83="","",IF($E68="Binaire",SAISIE!$I83*100,IF($E68="Maturité",(SAISIE!$I83-1)*25,IF(OR(SAISIE!$J83="",SAISIE!$J83=0),"",MIN(100,SAISIE!$I83*$F68/SAISIE!$J83*100)))))</f>
      </c>
      <c r="H68" s="39">
        <f t="shared" ca="1" si="0"/>
      </c>
      <c r="I68" s="35">
        <f ca="1">IF(SAISIE!$K83="NA",1,"")</f>
      </c>
      <c r="J68" s="35">
        <f ca="1">IF(AND(SAISIE!$K83&lt;&gt;"",SAISIE!$K83&lt;&gt;"OK",SAISIE!$K83&lt;&gt;"NA"),1,"")</f>
      </c>
      <c r="AE68" s="29">
        <f ca="1">IF($H68=1,COUNTIF($H$4:$H68,1),"")</f>
      </c>
      <c r="AF68" s="29">
        <f ca="1">IF(AND($G68&lt;&gt;"",$G68&gt;0,$G68&lt;$AF$1),COUNTIFS($G$4:$G68,"&gt;0",$G$4:$G68,"&lt;"&amp;$AF$1),"")</f>
      </c>
    </row>
    <row r="69" spans="1:32" ht="15.75" x14ac:dyDescent="0.25">
      <c r="A69" s="38" t="str">
        <f>REFERENTIEL!E69</f>
        <v>SE-CNF-3.2</v>
      </c>
      <c r="B69" s="35" t="str">
        <f>REFERENTIEL!A69</f>
        <v>Sécurité</v>
      </c>
      <c r="C69" s="35" t="str">
        <f>REFERENTIEL!B69</f>
        <v>Conformité</v>
      </c>
      <c r="D69" s="35" t="str">
        <f>REFERENTIEL!C69</f>
        <v>SE-CNF-3</v>
      </c>
      <c r="E69" s="35" t="str">
        <f>REFERENTIEL!H69</f>
        <v>Binaire</v>
      </c>
      <c r="F69" s="35">
        <f>REFERENTIEL!J69</f>
        <v>1</v>
      </c>
      <c r="G69" s="41">
        <f ca="1">IF(SAISIE!$I84="","",IF($E69="Binaire",SAISIE!$I84*100,IF($E69="Maturité",(SAISIE!$I84-1)*25,IF(OR(SAISIE!$J84="",SAISIE!$J84=0),"",MIN(100,SAISIE!$I84*$F69/SAISIE!$J84*100)))))</f>
      </c>
      <c r="H69" s="39">
        <f t="shared" ref="H69:H132" ca="1" si="14">IF(AND($G69&lt;&gt;"",$G69=0),1,"")</f>
      </c>
      <c r="I69" s="35">
        <f ca="1">IF(SAISIE!$K84="NA",1,"")</f>
      </c>
      <c r="J69" s="35">
        <f ca="1">IF(AND(SAISIE!$K84&lt;&gt;"",SAISIE!$K84&lt;&gt;"OK",SAISIE!$K84&lt;&gt;"NA"),1,"")</f>
      </c>
      <c r="AE69" s="29">
        <f ca="1">IF($H69=1,COUNTIF($H$4:$H69,1),"")</f>
      </c>
      <c r="AF69" s="29">
        <f ca="1">IF(AND($G69&lt;&gt;"",$G69&gt;0,$G69&lt;$AF$1),COUNTIFS($G$4:$G69,"&gt;0",$G$4:$G69,"&lt;"&amp;$AF$1),"")</f>
      </c>
    </row>
    <row r="70" spans="1:32" ht="15.75" x14ac:dyDescent="0.25">
      <c r="A70" s="38" t="str">
        <f>REFERENTIEL!E70</f>
        <v>SE-CNF-3.3</v>
      </c>
      <c r="B70" s="35" t="str">
        <f>REFERENTIEL!A70</f>
        <v>Sécurité</v>
      </c>
      <c r="C70" s="35" t="str">
        <f>REFERENTIEL!B70</f>
        <v>Conformité</v>
      </c>
      <c r="D70" s="35" t="str">
        <f>REFERENTIEL!C70</f>
        <v>SE-CNF-3</v>
      </c>
      <c r="E70" s="35" t="str">
        <f>REFERENTIEL!H70</f>
        <v>Taux</v>
      </c>
      <c r="F70" s="35">
        <f>REFERENTIEL!J70</f>
        <v>1</v>
      </c>
      <c r="G70" s="41">
        <f ca="1">IF(SAISIE!$I85="","",IF($E70="Binaire",SAISIE!$I85*100,IF($E70="Maturité",(SAISIE!$I85-1)*25,IF(OR(SAISIE!$J85="",SAISIE!$J85=0),"",MIN(100,SAISIE!$I85*$F70/SAISIE!$J85*100)))))</f>
      </c>
      <c r="H70" s="39">
        <f t="shared" ca="1" si="14"/>
      </c>
      <c r="I70" s="35">
        <f ca="1">IF(SAISIE!$K85="NA",1,"")</f>
      </c>
      <c r="J70" s="35">
        <f ca="1">IF(AND(SAISIE!$K85&lt;&gt;"",SAISIE!$K85&lt;&gt;"OK",SAISIE!$K85&lt;&gt;"NA"),1,"")</f>
      </c>
      <c r="AE70" s="29">
        <f ca="1">IF($H70=1,COUNTIF($H$4:$H70,1),"")</f>
      </c>
      <c r="AF70" s="29">
        <f ca="1">IF(AND($G70&lt;&gt;"",$G70&gt;0,$G70&lt;$AF$1),COUNTIFS($G$4:$G70,"&gt;0",$G$4:$G70,"&lt;"&amp;$AF$1),"")</f>
      </c>
    </row>
    <row r="71" spans="1:32" ht="15.75" x14ac:dyDescent="0.25">
      <c r="A71" s="38" t="str">
        <f>REFERENTIEL!E71</f>
        <v>SE-CNF-3.4</v>
      </c>
      <c r="B71" s="35" t="str">
        <f>REFERENTIEL!A71</f>
        <v>Sécurité</v>
      </c>
      <c r="C71" s="35" t="str">
        <f>REFERENTIEL!B71</f>
        <v>Conformité</v>
      </c>
      <c r="D71" s="35" t="str">
        <f>REFERENTIEL!C71</f>
        <v>SE-CNF-3</v>
      </c>
      <c r="E71" s="35" t="str">
        <f>REFERENTIEL!H71</f>
        <v>Binaire</v>
      </c>
      <c r="F71" s="35">
        <f>REFERENTIEL!J71</f>
        <v>1</v>
      </c>
      <c r="G71" s="41">
        <f ca="1">IF(SAISIE!$I86="","",IF($E71="Binaire",SAISIE!$I86*100,IF($E71="Maturité",(SAISIE!$I86-1)*25,IF(OR(SAISIE!$J86="",SAISIE!$J86=0),"",MIN(100,SAISIE!$I86*$F71/SAISIE!$J86*100)))))</f>
      </c>
      <c r="H71" s="39">
        <f t="shared" ca="1" si="14"/>
      </c>
      <c r="I71" s="35">
        <f ca="1">IF(SAISIE!$K86="NA",1,"")</f>
      </c>
      <c r="J71" s="35">
        <f ca="1">IF(AND(SAISIE!$K86&lt;&gt;"",SAISIE!$K86&lt;&gt;"OK",SAISIE!$K86&lt;&gt;"NA"),1,"")</f>
      </c>
      <c r="AE71" s="29">
        <f ca="1">IF($H71=1,COUNTIF($H$4:$H71,1),"")</f>
      </c>
      <c r="AF71" s="29">
        <f ca="1">IF(AND($G71&lt;&gt;"",$G71&gt;0,$G71&lt;$AF$1),COUNTIFS($G$4:$G71,"&gt;0",$G$4:$G71,"&lt;"&amp;$AF$1),"")</f>
      </c>
    </row>
    <row r="72" spans="1:32" ht="15.75" x14ac:dyDescent="0.25">
      <c r="A72" s="38" t="str">
        <f>REFERENTIEL!E72</f>
        <v>EN-PRV-1.1</v>
      </c>
      <c r="B72" s="38" t="str">
        <f>REFERENTIEL!A72</f>
        <v>Environnement</v>
      </c>
      <c r="C72" s="38" t="str">
        <f>REFERENTIEL!B72</f>
        <v>Prévention</v>
      </c>
      <c r="D72" s="35" t="str">
        <f>REFERENTIEL!C72</f>
        <v>EN-PRV-1</v>
      </c>
      <c r="E72" s="35" t="str">
        <f>REFERENTIEL!H72</f>
        <v>Binaire</v>
      </c>
      <c r="F72" s="35">
        <f>REFERENTIEL!J72</f>
        <v>1</v>
      </c>
      <c r="G72" s="41">
        <f ca="1">IF(SAISIE!$I87="","",IF($E72="Binaire",SAISIE!$I87*100,IF($E72="Maturité",(SAISIE!$I87-1)*25,IF(OR(SAISIE!$J87="",SAISIE!$J87=0),"",MIN(100,SAISIE!$I87*$F72/SAISIE!$J87*100)))))</f>
      </c>
      <c r="H72" s="39">
        <f t="shared" ca="1" si="14"/>
      </c>
      <c r="I72" s="35">
        <f ca="1">IF(SAISIE!$K87="NA",1,"")</f>
      </c>
      <c r="J72" s="35">
        <f ca="1">IF(AND(SAISIE!$K87&lt;&gt;"",SAISIE!$K87&lt;&gt;"OK",SAISIE!$K87&lt;&gt;"NA"),1,"")</f>
      </c>
      <c r="AE72" s="29">
        <f ca="1">IF($H72=1,COUNTIF($H$4:$H72,1),"")</f>
      </c>
      <c r="AF72" s="29">
        <f ca="1">IF(AND($G72&lt;&gt;"",$G72&gt;0,$G72&lt;$AF$1),COUNTIFS($G$4:$G72,"&gt;0",$G$4:$G72,"&lt;"&amp;$AF$1),"")</f>
      </c>
    </row>
    <row r="73" spans="1:32" ht="15.75" x14ac:dyDescent="0.25">
      <c r="A73" s="38" t="str">
        <f>REFERENTIEL!E73</f>
        <v>EN-PRV-1.2</v>
      </c>
      <c r="B73" s="35" t="str">
        <f>REFERENTIEL!A73</f>
        <v>Environnement</v>
      </c>
      <c r="C73" s="35" t="str">
        <f>REFERENTIEL!B73</f>
        <v>Prévention</v>
      </c>
      <c r="D73" s="35" t="str">
        <f>REFERENTIEL!C73</f>
        <v>EN-PRV-1</v>
      </c>
      <c r="E73" s="35" t="str">
        <f>REFERENTIEL!H73</f>
        <v>Binaire</v>
      </c>
      <c r="F73" s="35">
        <f>REFERENTIEL!J73</f>
        <v>1</v>
      </c>
      <c r="G73" s="41">
        <f ca="1">IF(SAISIE!$I88="","",IF($E73="Binaire",SAISIE!$I88*100,IF($E73="Maturité",(SAISIE!$I88-1)*25,IF(OR(SAISIE!$J88="",SAISIE!$J88=0),"",MIN(100,SAISIE!$I88*$F73/SAISIE!$J88*100)))))</f>
      </c>
      <c r="H73" s="39">
        <f t="shared" ca="1" si="14"/>
      </c>
      <c r="I73" s="35">
        <f ca="1">IF(SAISIE!$K88="NA",1,"")</f>
      </c>
      <c r="J73" s="35">
        <f ca="1">IF(AND(SAISIE!$K88&lt;&gt;"",SAISIE!$K88&lt;&gt;"OK",SAISIE!$K88&lt;&gt;"NA"),1,"")</f>
      </c>
      <c r="AE73" s="29">
        <f ca="1">IF($H73=1,COUNTIF($H$4:$H73,1),"")</f>
      </c>
      <c r="AF73" s="29">
        <f ca="1">IF(AND($G73&lt;&gt;"",$G73&gt;0,$G73&lt;$AF$1),COUNTIFS($G$4:$G73,"&gt;0",$G$4:$G73,"&lt;"&amp;$AF$1),"")</f>
      </c>
    </row>
    <row r="74" spans="1:32" ht="15.75" x14ac:dyDescent="0.25">
      <c r="A74" s="38" t="str">
        <f>REFERENTIEL!E74</f>
        <v>EN-PRV-1.3</v>
      </c>
      <c r="B74" s="35" t="str">
        <f>REFERENTIEL!A74</f>
        <v>Environnement</v>
      </c>
      <c r="C74" s="35" t="str">
        <f>REFERENTIEL!B74</f>
        <v>Prévention</v>
      </c>
      <c r="D74" s="35" t="str">
        <f>REFERENTIEL!C74</f>
        <v>EN-PRV-1</v>
      </c>
      <c r="E74" s="35" t="str">
        <f>REFERENTIEL!H74</f>
        <v>Binaire</v>
      </c>
      <c r="F74" s="35">
        <f>REFERENTIEL!J74</f>
        <v>1</v>
      </c>
      <c r="G74" s="41">
        <f ca="1">IF(SAISIE!$I89="","",IF($E74="Binaire",SAISIE!$I89*100,IF($E74="Maturité",(SAISIE!$I89-1)*25,IF(OR(SAISIE!$J89="",SAISIE!$J89=0),"",MIN(100,SAISIE!$I89*$F74/SAISIE!$J89*100)))))</f>
      </c>
      <c r="H74" s="39">
        <f t="shared" ca="1" si="14"/>
      </c>
      <c r="I74" s="35">
        <f ca="1">IF(SAISIE!$K89="NA",1,"")</f>
      </c>
      <c r="J74" s="35">
        <f ca="1">IF(AND(SAISIE!$K89&lt;&gt;"",SAISIE!$K89&lt;&gt;"OK",SAISIE!$K89&lt;&gt;"NA"),1,"")</f>
      </c>
      <c r="AE74" s="29">
        <f ca="1">IF($H74=1,COUNTIF($H$4:$H74,1),"")</f>
      </c>
      <c r="AF74" s="29">
        <f ca="1">IF(AND($G74&lt;&gt;"",$G74&gt;0,$G74&lt;$AF$1),COUNTIFS($G$4:$G74,"&gt;0",$G$4:$G74,"&lt;"&amp;$AF$1),"")</f>
      </c>
    </row>
    <row r="75" spans="1:32" ht="15.75" x14ac:dyDescent="0.25">
      <c r="A75" s="38" t="str">
        <f>REFERENTIEL!E75</f>
        <v>EN-PRV-1.4</v>
      </c>
      <c r="B75" s="35" t="str">
        <f>REFERENTIEL!A75</f>
        <v>Environnement</v>
      </c>
      <c r="C75" s="35" t="str">
        <f>REFERENTIEL!B75</f>
        <v>Prévention</v>
      </c>
      <c r="D75" s="35" t="str">
        <f>REFERENTIEL!C75</f>
        <v>EN-PRV-1</v>
      </c>
      <c r="E75" s="35" t="str">
        <f>REFERENTIEL!H75</f>
        <v>Taux</v>
      </c>
      <c r="F75" s="35">
        <f>REFERENTIEL!J75</f>
        <v>1</v>
      </c>
      <c r="G75" s="41">
        <f ca="1">IF(SAISIE!$I90="","",IF($E75="Binaire",SAISIE!$I90*100,IF($E75="Maturité",(SAISIE!$I90-1)*25,IF(OR(SAISIE!$J90="",SAISIE!$J90=0),"",MIN(100,SAISIE!$I90*$F75/SAISIE!$J90*100)))))</f>
      </c>
      <c r="H75" s="39">
        <f t="shared" ca="1" si="14"/>
      </c>
      <c r="I75" s="35">
        <f ca="1">IF(SAISIE!$K90="NA",1,"")</f>
      </c>
      <c r="J75" s="35">
        <f ca="1">IF(AND(SAISIE!$K90&lt;&gt;"",SAISIE!$K90&lt;&gt;"OK",SAISIE!$K90&lt;&gt;"NA"),1,"")</f>
      </c>
      <c r="AE75" s="29">
        <f ca="1">IF($H75=1,COUNTIF($H$4:$H75,1),"")</f>
      </c>
      <c r="AF75" s="29">
        <f ca="1">IF(AND($G75&lt;&gt;"",$G75&gt;0,$G75&lt;$AF$1),COUNTIFS($G$4:$G75,"&gt;0",$G$4:$G75,"&lt;"&amp;$AF$1),"")</f>
      </c>
    </row>
    <row r="76" spans="1:32" ht="15.75" x14ac:dyDescent="0.25">
      <c r="A76" s="38" t="str">
        <f>REFERENTIEL!E76</f>
        <v>EN-PRV-2.1</v>
      </c>
      <c r="B76" s="35" t="str">
        <f>REFERENTIEL!A76</f>
        <v>Environnement</v>
      </c>
      <c r="C76" s="35" t="str">
        <f>REFERENTIEL!B76</f>
        <v>Prévention</v>
      </c>
      <c r="D76" s="35" t="str">
        <f>REFERENTIEL!C76</f>
        <v>EN-PRV-2</v>
      </c>
      <c r="E76" s="35" t="str">
        <f>REFERENTIEL!H76</f>
        <v>Binaire</v>
      </c>
      <c r="F76" s="35">
        <f>REFERENTIEL!J76</f>
        <v>1</v>
      </c>
      <c r="G76" s="41">
        <f ca="1">IF(SAISIE!$I91="","",IF($E76="Binaire",SAISIE!$I91*100,IF($E76="Maturité",(SAISIE!$I91-1)*25,IF(OR(SAISIE!$J91="",SAISIE!$J91=0),"",MIN(100,SAISIE!$I91*$F76/SAISIE!$J91*100)))))</f>
      </c>
      <c r="H76" s="39">
        <f t="shared" ca="1" si="14"/>
      </c>
      <c r="I76" s="35">
        <f ca="1">IF(SAISIE!$K91="NA",1,"")</f>
      </c>
      <c r="J76" s="35">
        <f ca="1">IF(AND(SAISIE!$K91&lt;&gt;"",SAISIE!$K91&lt;&gt;"OK",SAISIE!$K91&lt;&gt;"NA"),1,"")</f>
      </c>
      <c r="AE76" s="29">
        <f ca="1">IF($H76=1,COUNTIF($H$4:$H76,1),"")</f>
      </c>
      <c r="AF76" s="29">
        <f ca="1">IF(AND($G76&lt;&gt;"",$G76&gt;0,$G76&lt;$AF$1),COUNTIFS($G$4:$G76,"&gt;0",$G$4:$G76,"&lt;"&amp;$AF$1),"")</f>
      </c>
    </row>
    <row r="77" spans="1:32" ht="15.75" x14ac:dyDescent="0.25">
      <c r="A77" s="38" t="str">
        <f>REFERENTIEL!E77</f>
        <v>EN-PRV-2.2</v>
      </c>
      <c r="B77" s="35" t="str">
        <f>REFERENTIEL!A77</f>
        <v>Environnement</v>
      </c>
      <c r="C77" s="35" t="str">
        <f>REFERENTIEL!B77</f>
        <v>Prévention</v>
      </c>
      <c r="D77" s="35" t="str">
        <f>REFERENTIEL!C77</f>
        <v>EN-PRV-2</v>
      </c>
      <c r="E77" s="35" t="str">
        <f>REFERENTIEL!H77</f>
        <v>Binaire</v>
      </c>
      <c r="F77" s="35">
        <f>REFERENTIEL!J77</f>
        <v>1</v>
      </c>
      <c r="G77" s="41">
        <f ca="1">IF(SAISIE!$I92="","",IF($E77="Binaire",SAISIE!$I92*100,IF($E77="Maturité",(SAISIE!$I92-1)*25,IF(OR(SAISIE!$J92="",SAISIE!$J92=0),"",MIN(100,SAISIE!$I92*$F77/SAISIE!$J92*100)))))</f>
      </c>
      <c r="H77" s="39">
        <f t="shared" ca="1" si="14"/>
      </c>
      <c r="I77" s="35">
        <f ca="1">IF(SAISIE!$K92="NA",1,"")</f>
      </c>
      <c r="J77" s="35">
        <f ca="1">IF(AND(SAISIE!$K92&lt;&gt;"",SAISIE!$K92&lt;&gt;"OK",SAISIE!$K92&lt;&gt;"NA"),1,"")</f>
      </c>
      <c r="AE77" s="29">
        <f ca="1">IF($H77=1,COUNTIF($H$4:$H77,1),"")</f>
      </c>
      <c r="AF77" s="29">
        <f ca="1">IF(AND($G77&lt;&gt;"",$G77&gt;0,$G77&lt;$AF$1),COUNTIFS($G$4:$G77,"&gt;0",$G$4:$G77,"&lt;"&amp;$AF$1),"")</f>
      </c>
    </row>
    <row r="78" spans="1:32" ht="15.75" x14ac:dyDescent="0.25">
      <c r="A78" s="38" t="str">
        <f>REFERENTIEL!E78</f>
        <v>EN-PRV-2.3</v>
      </c>
      <c r="B78" s="35" t="str">
        <f>REFERENTIEL!A78</f>
        <v>Environnement</v>
      </c>
      <c r="C78" s="35" t="str">
        <f>REFERENTIEL!B78</f>
        <v>Prévention</v>
      </c>
      <c r="D78" s="35" t="str">
        <f>REFERENTIEL!C78</f>
        <v>EN-PRV-2</v>
      </c>
      <c r="E78" s="35" t="str">
        <f>REFERENTIEL!H78</f>
        <v>Binaire</v>
      </c>
      <c r="F78" s="35">
        <f>REFERENTIEL!J78</f>
        <v>1</v>
      </c>
      <c r="G78" s="41">
        <f ca="1">IF(SAISIE!$I93="","",IF($E78="Binaire",SAISIE!$I93*100,IF($E78="Maturité",(SAISIE!$I93-1)*25,IF(OR(SAISIE!$J93="",SAISIE!$J93=0),"",MIN(100,SAISIE!$I93*$F78/SAISIE!$J93*100)))))</f>
      </c>
      <c r="H78" s="39">
        <f t="shared" ca="1" si="14"/>
      </c>
      <c r="I78" s="35">
        <f ca="1">IF(SAISIE!$K93="NA",1,"")</f>
      </c>
      <c r="J78" s="35">
        <f ca="1">IF(AND(SAISIE!$K93&lt;&gt;"",SAISIE!$K93&lt;&gt;"OK",SAISIE!$K93&lt;&gt;"NA"),1,"")</f>
      </c>
      <c r="AE78" s="29">
        <f ca="1">IF($H78=1,COUNTIF($H$4:$H78,1),"")</f>
      </c>
      <c r="AF78" s="29">
        <f ca="1">IF(AND($G78&lt;&gt;"",$G78&gt;0,$G78&lt;$AF$1),COUNTIFS($G$4:$G78,"&gt;0",$G$4:$G78,"&lt;"&amp;$AF$1),"")</f>
      </c>
    </row>
    <row r="79" spans="1:32" ht="15.75" x14ac:dyDescent="0.25">
      <c r="A79" s="38" t="str">
        <f>REFERENTIEL!E79</f>
        <v>EN-PRV-2.4</v>
      </c>
      <c r="B79" s="35" t="str">
        <f>REFERENTIEL!A79</f>
        <v>Environnement</v>
      </c>
      <c r="C79" s="35" t="str">
        <f>REFERENTIEL!B79</f>
        <v>Prévention</v>
      </c>
      <c r="D79" s="35" t="str">
        <f>REFERENTIEL!C79</f>
        <v>EN-PRV-2</v>
      </c>
      <c r="E79" s="35" t="str">
        <f>REFERENTIEL!H79</f>
        <v>Binaire</v>
      </c>
      <c r="F79" s="35">
        <f>REFERENTIEL!J79</f>
        <v>1</v>
      </c>
      <c r="G79" s="41">
        <f ca="1">IF(SAISIE!$I94="","",IF($E79="Binaire",SAISIE!$I94*100,IF($E79="Maturité",(SAISIE!$I94-1)*25,IF(OR(SAISIE!$J94="",SAISIE!$J94=0),"",MIN(100,SAISIE!$I94*$F79/SAISIE!$J94*100)))))</f>
      </c>
      <c r="H79" s="39">
        <f t="shared" ca="1" si="14"/>
      </c>
      <c r="I79" s="35">
        <f ca="1">IF(SAISIE!$K94="NA",1,"")</f>
      </c>
      <c r="J79" s="35">
        <f ca="1">IF(AND(SAISIE!$K94&lt;&gt;"",SAISIE!$K94&lt;&gt;"OK",SAISIE!$K94&lt;&gt;"NA"),1,"")</f>
      </c>
      <c r="AE79" s="29">
        <f ca="1">IF($H79=1,COUNTIF($H$4:$H79,1),"")</f>
      </c>
      <c r="AF79" s="29">
        <f ca="1">IF(AND($G79&lt;&gt;"",$G79&gt;0,$G79&lt;$AF$1),COUNTIFS($G$4:$G79,"&gt;0",$G$4:$G79,"&lt;"&amp;$AF$1),"")</f>
      </c>
    </row>
    <row r="80" spans="1:32" ht="15.75" x14ac:dyDescent="0.25">
      <c r="A80" s="38" t="str">
        <f>REFERENTIEL!E80</f>
        <v>EN-PRV-3.1</v>
      </c>
      <c r="B80" s="35" t="str">
        <f>REFERENTIEL!A80</f>
        <v>Environnement</v>
      </c>
      <c r="C80" s="35" t="str">
        <f>REFERENTIEL!B80</f>
        <v>Prévention</v>
      </c>
      <c r="D80" s="35" t="str">
        <f>REFERENTIEL!C80</f>
        <v>EN-PRV-3</v>
      </c>
      <c r="E80" s="35" t="str">
        <f>REFERENTIEL!H80</f>
        <v>Binaire</v>
      </c>
      <c r="F80" s="35">
        <f>REFERENTIEL!J80</f>
        <v>1</v>
      </c>
      <c r="G80" s="41">
        <f ca="1">IF(SAISIE!$I95="","",IF($E80="Binaire",SAISIE!$I95*100,IF($E80="Maturité",(SAISIE!$I95-1)*25,IF(OR(SAISIE!$J95="",SAISIE!$J95=0),"",MIN(100,SAISIE!$I95*$F80/SAISIE!$J95*100)))))</f>
      </c>
      <c r="H80" s="39">
        <f t="shared" ca="1" si="14"/>
      </c>
      <c r="I80" s="35">
        <f ca="1">IF(SAISIE!$K95="NA",1,"")</f>
      </c>
      <c r="J80" s="35">
        <f ca="1">IF(AND(SAISIE!$K95&lt;&gt;"",SAISIE!$K95&lt;&gt;"OK",SAISIE!$K95&lt;&gt;"NA"),1,"")</f>
      </c>
      <c r="AE80" s="29">
        <f ca="1">IF($H80=1,COUNTIF($H$4:$H80,1),"")</f>
      </c>
      <c r="AF80" s="29">
        <f ca="1">IF(AND($G80&lt;&gt;"",$G80&gt;0,$G80&lt;$AF$1),COUNTIFS($G$4:$G80,"&gt;0",$G$4:$G80,"&lt;"&amp;$AF$1),"")</f>
      </c>
    </row>
    <row r="81" spans="1:32" ht="15.75" x14ac:dyDescent="0.25">
      <c r="A81" s="38" t="str">
        <f>REFERENTIEL!E81</f>
        <v>EN-PRV-3.2</v>
      </c>
      <c r="B81" s="35" t="str">
        <f>REFERENTIEL!A81</f>
        <v>Environnement</v>
      </c>
      <c r="C81" s="35" t="str">
        <f>REFERENTIEL!B81</f>
        <v>Prévention</v>
      </c>
      <c r="D81" s="35" t="str">
        <f>REFERENTIEL!C81</f>
        <v>EN-PRV-3</v>
      </c>
      <c r="E81" s="35" t="str">
        <f>REFERENTIEL!H81</f>
        <v>Binaire</v>
      </c>
      <c r="F81" s="35">
        <f>REFERENTIEL!J81</f>
        <v>1</v>
      </c>
      <c r="G81" s="41">
        <f ca="1">IF(SAISIE!$I96="","",IF($E81="Binaire",SAISIE!$I96*100,IF($E81="Maturité",(SAISIE!$I96-1)*25,IF(OR(SAISIE!$J96="",SAISIE!$J96=0),"",MIN(100,SAISIE!$I96*$F81/SAISIE!$J96*100)))))</f>
      </c>
      <c r="H81" s="39">
        <f t="shared" ca="1" si="14"/>
      </c>
      <c r="I81" s="35">
        <f ca="1">IF(SAISIE!$K96="NA",1,"")</f>
      </c>
      <c r="J81" s="35">
        <f ca="1">IF(AND(SAISIE!$K96&lt;&gt;"",SAISIE!$K96&lt;&gt;"OK",SAISIE!$K96&lt;&gt;"NA"),1,"")</f>
      </c>
      <c r="AE81" s="29">
        <f ca="1">IF($H81=1,COUNTIF($H$4:$H81,1),"")</f>
      </c>
      <c r="AF81" s="29">
        <f ca="1">IF(AND($G81&lt;&gt;"",$G81&gt;0,$G81&lt;$AF$1),COUNTIFS($G$4:$G81,"&gt;0",$G$4:$G81,"&lt;"&amp;$AF$1),"")</f>
      </c>
    </row>
    <row r="82" spans="1:32" ht="15.75" x14ac:dyDescent="0.25">
      <c r="A82" s="38" t="str">
        <f>REFERENTIEL!E82</f>
        <v>EN-PRV-3.3</v>
      </c>
      <c r="B82" s="35" t="str">
        <f>REFERENTIEL!A82</f>
        <v>Environnement</v>
      </c>
      <c r="C82" s="35" t="str">
        <f>REFERENTIEL!B82</f>
        <v>Prévention</v>
      </c>
      <c r="D82" s="35" t="str">
        <f>REFERENTIEL!C82</f>
        <v>EN-PRV-3</v>
      </c>
      <c r="E82" s="35" t="str">
        <f>REFERENTIEL!H82</f>
        <v>Binaire</v>
      </c>
      <c r="F82" s="35">
        <f>REFERENTIEL!J82</f>
        <v>1</v>
      </c>
      <c r="G82" s="41">
        <f ca="1">IF(SAISIE!$I97="","",IF($E82="Binaire",SAISIE!$I97*100,IF($E82="Maturité",(SAISIE!$I97-1)*25,IF(OR(SAISIE!$J97="",SAISIE!$J97=0),"",MIN(100,SAISIE!$I97*$F82/SAISIE!$J97*100)))))</f>
      </c>
      <c r="H82" s="39">
        <f t="shared" ca="1" si="14"/>
      </c>
      <c r="I82" s="35">
        <f ca="1">IF(SAISIE!$K97="NA",1,"")</f>
      </c>
      <c r="J82" s="35">
        <f ca="1">IF(AND(SAISIE!$K97&lt;&gt;"",SAISIE!$K97&lt;&gt;"OK",SAISIE!$K97&lt;&gt;"NA"),1,"")</f>
      </c>
      <c r="AE82" s="29">
        <f ca="1">IF($H82=1,COUNTIF($H$4:$H82,1),"")</f>
      </c>
      <c r="AF82" s="29">
        <f ca="1">IF(AND($G82&lt;&gt;"",$G82&gt;0,$G82&lt;$AF$1),COUNTIFS($G$4:$G82,"&gt;0",$G$4:$G82,"&lt;"&amp;$AF$1),"")</f>
      </c>
    </row>
    <row r="83" spans="1:32" ht="15.75" x14ac:dyDescent="0.25">
      <c r="A83" s="38" t="str">
        <f>REFERENTIEL!E83</f>
        <v>EN-PRV-3.4</v>
      </c>
      <c r="B83" s="35" t="str">
        <f>REFERENTIEL!A83</f>
        <v>Environnement</v>
      </c>
      <c r="C83" s="35" t="str">
        <f>REFERENTIEL!B83</f>
        <v>Prévention</v>
      </c>
      <c r="D83" s="35" t="str">
        <f>REFERENTIEL!C83</f>
        <v>EN-PRV-3</v>
      </c>
      <c r="E83" s="35" t="str">
        <f>REFERENTIEL!H83</f>
        <v>Binaire</v>
      </c>
      <c r="F83" s="35">
        <f>REFERENTIEL!J83</f>
        <v>1</v>
      </c>
      <c r="G83" s="41">
        <f ca="1">IF(SAISIE!$I98="","",IF($E83="Binaire",SAISIE!$I98*100,IF($E83="Maturité",(SAISIE!$I98-1)*25,IF(OR(SAISIE!$J98="",SAISIE!$J98=0),"",MIN(100,SAISIE!$I98*$F83/SAISIE!$J98*100)))))</f>
      </c>
      <c r="H83" s="39">
        <f t="shared" ca="1" si="14"/>
      </c>
      <c r="I83" s="35">
        <f ca="1">IF(SAISIE!$K98="NA",1,"")</f>
      </c>
      <c r="J83" s="35">
        <f ca="1">IF(AND(SAISIE!$K98&lt;&gt;"",SAISIE!$K98&lt;&gt;"OK",SAISIE!$K98&lt;&gt;"NA"),1,"")</f>
      </c>
      <c r="AE83" s="29">
        <f ca="1">IF($H83=1,COUNTIF($H$4:$H83,1),"")</f>
      </c>
      <c r="AF83" s="29">
        <f ca="1">IF(AND($G83&lt;&gt;"",$G83&gt;0,$G83&lt;$AF$1),COUNTIFS($G$4:$G83,"&gt;0",$G$4:$G83,"&lt;"&amp;$AF$1),"")</f>
      </c>
    </row>
    <row r="84" spans="1:32" ht="15.75" x14ac:dyDescent="0.25">
      <c r="A84" s="38" t="str">
        <f>REFERENTIEL!E84</f>
        <v>EN-PRT-1.1</v>
      </c>
      <c r="B84" s="35" t="str">
        <f>REFERENTIEL!A84</f>
        <v>Environnement</v>
      </c>
      <c r="C84" s="38" t="str">
        <f>REFERENTIEL!B84</f>
        <v>Protection</v>
      </c>
      <c r="D84" s="35" t="str">
        <f>REFERENTIEL!C84</f>
        <v>EN-PRT-1</v>
      </c>
      <c r="E84" s="35" t="str">
        <f>REFERENTIEL!H84</f>
        <v>Binaire</v>
      </c>
      <c r="F84" s="35">
        <f>REFERENTIEL!J84</f>
        <v>1</v>
      </c>
      <c r="G84" s="41">
        <f ca="1">IF(SAISIE!$I99="","",IF($E84="Binaire",SAISIE!$I99*100,IF($E84="Maturité",(SAISIE!$I99-1)*25,IF(OR(SAISIE!$J99="",SAISIE!$J99=0),"",MIN(100,SAISIE!$I99*$F84/SAISIE!$J99*100)))))</f>
      </c>
      <c r="H84" s="39">
        <f t="shared" ca="1" si="14"/>
      </c>
      <c r="I84" s="35">
        <f ca="1">IF(SAISIE!$K99="NA",1,"")</f>
      </c>
      <c r="J84" s="35">
        <f ca="1">IF(AND(SAISIE!$K99&lt;&gt;"",SAISIE!$K99&lt;&gt;"OK",SAISIE!$K99&lt;&gt;"NA"),1,"")</f>
      </c>
      <c r="AE84" s="29">
        <f ca="1">IF($H84=1,COUNTIF($H$4:$H84,1),"")</f>
      </c>
      <c r="AF84" s="29">
        <f ca="1">IF(AND($G84&lt;&gt;"",$G84&gt;0,$G84&lt;$AF$1),COUNTIFS($G$4:$G84,"&gt;0",$G$4:$G84,"&lt;"&amp;$AF$1),"")</f>
      </c>
    </row>
    <row r="85" spans="1:32" ht="15.75" x14ac:dyDescent="0.25">
      <c r="A85" s="38" t="str">
        <f>REFERENTIEL!E85</f>
        <v>EN-PRT-1.2</v>
      </c>
      <c r="B85" s="35" t="str">
        <f>REFERENTIEL!A85</f>
        <v>Environnement</v>
      </c>
      <c r="C85" s="35" t="str">
        <f>REFERENTIEL!B85</f>
        <v>Protection</v>
      </c>
      <c r="D85" s="35" t="str">
        <f>REFERENTIEL!C85</f>
        <v>EN-PRT-1</v>
      </c>
      <c r="E85" s="35" t="str">
        <f>REFERENTIEL!H85</f>
        <v>Binaire</v>
      </c>
      <c r="F85" s="35">
        <f>REFERENTIEL!J85</f>
        <v>1</v>
      </c>
      <c r="G85" s="41">
        <f ca="1">IF(SAISIE!$I100="","",IF($E85="Binaire",SAISIE!$I100*100,IF($E85="Maturité",(SAISIE!$I100-1)*25,IF(OR(SAISIE!$J100="",SAISIE!$J100=0),"",MIN(100,SAISIE!$I100*$F85/SAISIE!$J100*100)))))</f>
      </c>
      <c r="H85" s="39">
        <f t="shared" ca="1" si="14"/>
      </c>
      <c r="I85" s="35">
        <f ca="1">IF(SAISIE!$K100="NA",1,"")</f>
      </c>
      <c r="J85" s="35">
        <f ca="1">IF(AND(SAISIE!$K100&lt;&gt;"",SAISIE!$K100&lt;&gt;"OK",SAISIE!$K100&lt;&gt;"NA"),1,"")</f>
      </c>
      <c r="AE85" s="29">
        <f ca="1">IF($H85=1,COUNTIF($H$4:$H85,1),"")</f>
      </c>
      <c r="AF85" s="29">
        <f ca="1">IF(AND($G85&lt;&gt;"",$G85&gt;0,$G85&lt;$AF$1),COUNTIFS($G$4:$G85,"&gt;0",$G$4:$G85,"&lt;"&amp;$AF$1),"")</f>
      </c>
    </row>
    <row r="86" spans="1:32" ht="15.75" x14ac:dyDescent="0.25">
      <c r="A86" s="38" t="str">
        <f>REFERENTIEL!E86</f>
        <v>EN-PRT-1.3</v>
      </c>
      <c r="B86" s="35" t="str">
        <f>REFERENTIEL!A86</f>
        <v>Environnement</v>
      </c>
      <c r="C86" s="35" t="str">
        <f>REFERENTIEL!B86</f>
        <v>Protection</v>
      </c>
      <c r="D86" s="35" t="str">
        <f>REFERENTIEL!C86</f>
        <v>EN-PRT-1</v>
      </c>
      <c r="E86" s="35" t="str">
        <f>REFERENTIEL!H86</f>
        <v>Binaire</v>
      </c>
      <c r="F86" s="35">
        <f>REFERENTIEL!J86</f>
        <v>1</v>
      </c>
      <c r="G86" s="41">
        <f ca="1">IF(SAISIE!$I101="","",IF($E86="Binaire",SAISIE!$I101*100,IF($E86="Maturité",(SAISIE!$I101-1)*25,IF(OR(SAISIE!$J101="",SAISIE!$J101=0),"",MIN(100,SAISIE!$I101*$F86/SAISIE!$J101*100)))))</f>
      </c>
      <c r="H86" s="39">
        <f t="shared" ca="1" si="14"/>
      </c>
      <c r="I86" s="35">
        <f ca="1">IF(SAISIE!$K101="NA",1,"")</f>
      </c>
      <c r="J86" s="35">
        <f ca="1">IF(AND(SAISIE!$K101&lt;&gt;"",SAISIE!$K101&lt;&gt;"OK",SAISIE!$K101&lt;&gt;"NA"),1,"")</f>
      </c>
      <c r="AE86" s="29">
        <f ca="1">IF($H86=1,COUNTIF($H$4:$H86,1),"")</f>
      </c>
      <c r="AF86" s="29">
        <f ca="1">IF(AND($G86&lt;&gt;"",$G86&gt;0,$G86&lt;$AF$1),COUNTIFS($G$4:$G86,"&gt;0",$G$4:$G86,"&lt;"&amp;$AF$1),"")</f>
      </c>
    </row>
    <row r="87" spans="1:32" ht="15.75" x14ac:dyDescent="0.25">
      <c r="A87" s="38" t="str">
        <f>REFERENTIEL!E87</f>
        <v>EN-PRT-1.4</v>
      </c>
      <c r="B87" s="35" t="str">
        <f>REFERENTIEL!A87</f>
        <v>Environnement</v>
      </c>
      <c r="C87" s="35" t="str">
        <f>REFERENTIEL!B87</f>
        <v>Protection</v>
      </c>
      <c r="D87" s="35" t="str">
        <f>REFERENTIEL!C87</f>
        <v>EN-PRT-1</v>
      </c>
      <c r="E87" s="35" t="str">
        <f>REFERENTIEL!H87</f>
        <v>Binaire</v>
      </c>
      <c r="F87" s="35">
        <f>REFERENTIEL!J87</f>
        <v>1</v>
      </c>
      <c r="G87" s="41">
        <f ca="1">IF(SAISIE!$I102="","",IF($E87="Binaire",SAISIE!$I102*100,IF($E87="Maturité",(SAISIE!$I102-1)*25,IF(OR(SAISIE!$J102="",SAISIE!$J102=0),"",MIN(100,SAISIE!$I102*$F87/SAISIE!$J102*100)))))</f>
      </c>
      <c r="H87" s="39">
        <f t="shared" ca="1" si="14"/>
      </c>
      <c r="I87" s="35">
        <f ca="1">IF(SAISIE!$K102="NA",1,"")</f>
      </c>
      <c r="J87" s="35">
        <f ca="1">IF(AND(SAISIE!$K102&lt;&gt;"",SAISIE!$K102&lt;&gt;"OK",SAISIE!$K102&lt;&gt;"NA"),1,"")</f>
      </c>
      <c r="AE87" s="29">
        <f ca="1">IF($H87=1,COUNTIF($H$4:$H87,1),"")</f>
      </c>
      <c r="AF87" s="29">
        <f ca="1">IF(AND($G87&lt;&gt;"",$G87&gt;0,$G87&lt;$AF$1),COUNTIFS($G$4:$G87,"&gt;0",$G$4:$G87,"&lt;"&amp;$AF$1),"")</f>
      </c>
    </row>
    <row r="88" spans="1:32" ht="15.75" x14ac:dyDescent="0.25">
      <c r="A88" s="38" t="str">
        <f>REFERENTIEL!E88</f>
        <v>EN-PRT-2.1</v>
      </c>
      <c r="B88" s="35" t="str">
        <f>REFERENTIEL!A88</f>
        <v>Environnement</v>
      </c>
      <c r="C88" s="35" t="str">
        <f>REFERENTIEL!B88</f>
        <v>Protection</v>
      </c>
      <c r="D88" s="35" t="str">
        <f>REFERENTIEL!C88</f>
        <v>EN-PRT-2</v>
      </c>
      <c r="E88" s="35" t="str">
        <f>REFERENTIEL!H88</f>
        <v>Binaire</v>
      </c>
      <c r="F88" s="35">
        <f>REFERENTIEL!J88</f>
        <v>1</v>
      </c>
      <c r="G88" s="41">
        <f ca="1">IF(SAISIE!$I103="","",IF($E88="Binaire",SAISIE!$I103*100,IF($E88="Maturité",(SAISIE!$I103-1)*25,IF(OR(SAISIE!$J103="",SAISIE!$J103=0),"",MIN(100,SAISIE!$I103*$F88/SAISIE!$J103*100)))))</f>
      </c>
      <c r="H88" s="39">
        <f t="shared" ca="1" si="14"/>
      </c>
      <c r="I88" s="35">
        <f ca="1">IF(SAISIE!$K103="NA",1,"")</f>
      </c>
      <c r="J88" s="35">
        <f ca="1">IF(AND(SAISIE!$K103&lt;&gt;"",SAISIE!$K103&lt;&gt;"OK",SAISIE!$K103&lt;&gt;"NA"),1,"")</f>
      </c>
      <c r="AE88" s="29">
        <f ca="1">IF($H88=1,COUNTIF($H$4:$H88,1),"")</f>
      </c>
      <c r="AF88" s="29">
        <f ca="1">IF(AND($G88&lt;&gt;"",$G88&gt;0,$G88&lt;$AF$1),COUNTIFS($G$4:$G88,"&gt;0",$G$4:$G88,"&lt;"&amp;$AF$1),"")</f>
      </c>
    </row>
    <row r="89" spans="1:32" ht="15.75" x14ac:dyDescent="0.25">
      <c r="A89" s="38" t="str">
        <f>REFERENTIEL!E89</f>
        <v>EN-PRT-2.2</v>
      </c>
      <c r="B89" s="35" t="str">
        <f>REFERENTIEL!A89</f>
        <v>Environnement</v>
      </c>
      <c r="C89" s="35" t="str">
        <f>REFERENTIEL!B89</f>
        <v>Protection</v>
      </c>
      <c r="D89" s="35" t="str">
        <f>REFERENTIEL!C89</f>
        <v>EN-PRT-2</v>
      </c>
      <c r="E89" s="35" t="str">
        <f>REFERENTIEL!H89</f>
        <v>Binaire</v>
      </c>
      <c r="F89" s="35">
        <f>REFERENTIEL!J89</f>
        <v>1</v>
      </c>
      <c r="G89" s="41">
        <f ca="1">IF(SAISIE!$I104="","",IF($E89="Binaire",SAISIE!$I104*100,IF($E89="Maturité",(SAISIE!$I104-1)*25,IF(OR(SAISIE!$J104="",SAISIE!$J104=0),"",MIN(100,SAISIE!$I104*$F89/SAISIE!$J104*100)))))</f>
      </c>
      <c r="H89" s="39">
        <f t="shared" ca="1" si="14"/>
      </c>
      <c r="I89" s="35">
        <f ca="1">IF(SAISIE!$K104="NA",1,"")</f>
      </c>
      <c r="J89" s="35">
        <f ca="1">IF(AND(SAISIE!$K104&lt;&gt;"",SAISIE!$K104&lt;&gt;"OK",SAISIE!$K104&lt;&gt;"NA"),1,"")</f>
      </c>
      <c r="AE89" s="29">
        <f ca="1">IF($H89=1,COUNTIF($H$4:$H89,1),"")</f>
      </c>
      <c r="AF89" s="29">
        <f ca="1">IF(AND($G89&lt;&gt;"",$G89&gt;0,$G89&lt;$AF$1),COUNTIFS($G$4:$G89,"&gt;0",$G$4:$G89,"&lt;"&amp;$AF$1),"")</f>
      </c>
    </row>
    <row r="90" spans="1:32" ht="15.75" x14ac:dyDescent="0.25">
      <c r="A90" s="38" t="str">
        <f>REFERENTIEL!E90</f>
        <v>EN-PRT-2.3</v>
      </c>
      <c r="B90" s="35" t="str">
        <f>REFERENTIEL!A90</f>
        <v>Environnement</v>
      </c>
      <c r="C90" s="35" t="str">
        <f>REFERENTIEL!B90</f>
        <v>Protection</v>
      </c>
      <c r="D90" s="35" t="str">
        <f>REFERENTIEL!C90</f>
        <v>EN-PRT-2</v>
      </c>
      <c r="E90" s="35" t="str">
        <f>REFERENTIEL!H90</f>
        <v>Binaire</v>
      </c>
      <c r="F90" s="35">
        <f>REFERENTIEL!J90</f>
        <v>1</v>
      </c>
      <c r="G90" s="41">
        <f ca="1">IF(SAISIE!$I105="","",IF($E90="Binaire",SAISIE!$I105*100,IF($E90="Maturité",(SAISIE!$I105-1)*25,IF(OR(SAISIE!$J105="",SAISIE!$J105=0),"",MIN(100,SAISIE!$I105*$F90/SAISIE!$J105*100)))))</f>
      </c>
      <c r="H90" s="39">
        <f t="shared" ca="1" si="14"/>
      </c>
      <c r="I90" s="35">
        <f ca="1">IF(SAISIE!$K105="NA",1,"")</f>
      </c>
      <c r="J90" s="35">
        <f ca="1">IF(AND(SAISIE!$K105&lt;&gt;"",SAISIE!$K105&lt;&gt;"OK",SAISIE!$K105&lt;&gt;"NA"),1,"")</f>
      </c>
      <c r="AE90" s="29">
        <f ca="1">IF($H90=1,COUNTIF($H$4:$H90,1),"")</f>
      </c>
      <c r="AF90" s="29">
        <f ca="1">IF(AND($G90&lt;&gt;"",$G90&gt;0,$G90&lt;$AF$1),COUNTIFS($G$4:$G90,"&gt;0",$G$4:$G90,"&lt;"&amp;$AF$1),"")</f>
      </c>
    </row>
    <row r="91" spans="1:32" ht="15.75" x14ac:dyDescent="0.25">
      <c r="A91" s="38" t="str">
        <f>REFERENTIEL!E91</f>
        <v>EN-PRT-2.4</v>
      </c>
      <c r="B91" s="35" t="str">
        <f>REFERENTIEL!A91</f>
        <v>Environnement</v>
      </c>
      <c r="C91" s="35" t="str">
        <f>REFERENTIEL!B91</f>
        <v>Protection</v>
      </c>
      <c r="D91" s="35" t="str">
        <f>REFERENTIEL!C91</f>
        <v>EN-PRT-2</v>
      </c>
      <c r="E91" s="35" t="str">
        <f>REFERENTIEL!H91</f>
        <v>Binaire</v>
      </c>
      <c r="F91" s="35">
        <f>REFERENTIEL!J91</f>
        <v>1</v>
      </c>
      <c r="G91" s="41">
        <f ca="1">IF(SAISIE!$I106="","",IF($E91="Binaire",SAISIE!$I106*100,IF($E91="Maturité",(SAISIE!$I106-1)*25,IF(OR(SAISIE!$J106="",SAISIE!$J106=0),"",MIN(100,SAISIE!$I106*$F91/SAISIE!$J106*100)))))</f>
      </c>
      <c r="H91" s="39">
        <f t="shared" ca="1" si="14"/>
      </c>
      <c r="I91" s="35">
        <f ca="1">IF(SAISIE!$K106="NA",1,"")</f>
      </c>
      <c r="J91" s="35">
        <f ca="1">IF(AND(SAISIE!$K106&lt;&gt;"",SAISIE!$K106&lt;&gt;"OK",SAISIE!$K106&lt;&gt;"NA"),1,"")</f>
      </c>
      <c r="AE91" s="29">
        <f ca="1">IF($H91=1,COUNTIF($H$4:$H91,1),"")</f>
      </c>
      <c r="AF91" s="29">
        <f ca="1">IF(AND($G91&lt;&gt;"",$G91&gt;0,$G91&lt;$AF$1),COUNTIFS($G$4:$G91,"&gt;0",$G$4:$G91,"&lt;"&amp;$AF$1),"")</f>
      </c>
    </row>
    <row r="92" spans="1:32" ht="15.75" x14ac:dyDescent="0.25">
      <c r="A92" s="38" t="str">
        <f>REFERENTIEL!E92</f>
        <v>EN-CNF-1.1</v>
      </c>
      <c r="B92" s="35" t="str">
        <f>REFERENTIEL!A92</f>
        <v>Environnement</v>
      </c>
      <c r="C92" s="38" t="str">
        <f>REFERENTIEL!B92</f>
        <v>Conformité</v>
      </c>
      <c r="D92" s="35" t="str">
        <f>REFERENTIEL!C92</f>
        <v>EN-CNF-1</v>
      </c>
      <c r="E92" s="35" t="str">
        <f>REFERENTIEL!H92</f>
        <v>Binaire</v>
      </c>
      <c r="F92" s="35">
        <f>REFERENTIEL!J92</f>
        <v>1</v>
      </c>
      <c r="G92" s="41">
        <f ca="1">IF(SAISIE!$I107="","",IF($E92="Binaire",SAISIE!$I107*100,IF($E92="Maturité",(SAISIE!$I107-1)*25,IF(OR(SAISIE!$J107="",SAISIE!$J107=0),"",MIN(100,SAISIE!$I107*$F92/SAISIE!$J107*100)))))</f>
      </c>
      <c r="H92" s="39">
        <f t="shared" ca="1" si="14"/>
      </c>
      <c r="I92" s="35">
        <f ca="1">IF(SAISIE!$K107="NA",1,"")</f>
      </c>
      <c r="J92" s="35">
        <f ca="1">IF(AND(SAISIE!$K107&lt;&gt;"",SAISIE!$K107&lt;&gt;"OK",SAISIE!$K107&lt;&gt;"NA"),1,"")</f>
      </c>
      <c r="AE92" s="29">
        <f ca="1">IF($H92=1,COUNTIF($H$4:$H92,1),"")</f>
      </c>
      <c r="AF92" s="29">
        <f ca="1">IF(AND($G92&lt;&gt;"",$G92&gt;0,$G92&lt;$AF$1),COUNTIFS($G$4:$G92,"&gt;0",$G$4:$G92,"&lt;"&amp;$AF$1),"")</f>
      </c>
    </row>
    <row r="93" spans="1:32" ht="15.75" x14ac:dyDescent="0.25">
      <c r="A93" s="38" t="str">
        <f>REFERENTIEL!E93</f>
        <v>EN-CNF-1.2</v>
      </c>
      <c r="B93" s="35" t="str">
        <f>REFERENTIEL!A93</f>
        <v>Environnement</v>
      </c>
      <c r="C93" s="35" t="str">
        <f>REFERENTIEL!B93</f>
        <v>Conformité</v>
      </c>
      <c r="D93" s="35" t="str">
        <f>REFERENTIEL!C93</f>
        <v>EN-CNF-1</v>
      </c>
      <c r="E93" s="35" t="str">
        <f>REFERENTIEL!H93</f>
        <v>Maturité</v>
      </c>
      <c r="F93" s="35">
        <f>REFERENTIEL!J93</f>
        <v>1</v>
      </c>
      <c r="G93" s="41">
        <f ca="1">IF(SAISIE!$I108="","",IF($E93="Binaire",SAISIE!$I108*100,IF($E93="Maturité",(SAISIE!$I108-1)*25,IF(OR(SAISIE!$J108="",SAISIE!$J108=0),"",MIN(100,SAISIE!$I108*$F93/SAISIE!$J108*100)))))</f>
      </c>
      <c r="H93" s="39">
        <f t="shared" ca="1" si="14"/>
      </c>
      <c r="I93" s="35">
        <f ca="1">IF(SAISIE!$K108="NA",1,"")</f>
      </c>
      <c r="J93" s="35">
        <f ca="1">IF(AND(SAISIE!$K108&lt;&gt;"",SAISIE!$K108&lt;&gt;"OK",SAISIE!$K108&lt;&gt;"NA"),1,"")</f>
      </c>
      <c r="AE93" s="29">
        <f ca="1">IF($H93=1,COUNTIF($H$4:$H93,1),"")</f>
      </c>
      <c r="AF93" s="29">
        <f ca="1">IF(AND($G93&lt;&gt;"",$G93&gt;0,$G93&lt;$AF$1),COUNTIFS($G$4:$G93,"&gt;0",$G$4:$G93,"&lt;"&amp;$AF$1),"")</f>
      </c>
    </row>
    <row r="94" spans="1:32" ht="15.75" x14ac:dyDescent="0.25">
      <c r="A94" s="38" t="str">
        <f>REFERENTIEL!E94</f>
        <v>EN-CNF-1.3</v>
      </c>
      <c r="B94" s="35" t="str">
        <f>REFERENTIEL!A94</f>
        <v>Environnement</v>
      </c>
      <c r="C94" s="35" t="str">
        <f>REFERENTIEL!B94</f>
        <v>Conformité</v>
      </c>
      <c r="D94" s="35" t="str">
        <f>REFERENTIEL!C94</f>
        <v>EN-CNF-1</v>
      </c>
      <c r="E94" s="35" t="str">
        <f>REFERENTIEL!H94</f>
        <v>Binaire</v>
      </c>
      <c r="F94" s="35">
        <f>REFERENTIEL!J94</f>
        <v>1</v>
      </c>
      <c r="G94" s="41">
        <f ca="1">IF(SAISIE!$I109="","",IF($E94="Binaire",SAISIE!$I109*100,IF($E94="Maturité",(SAISIE!$I109-1)*25,IF(OR(SAISIE!$J109="",SAISIE!$J109=0),"",MIN(100,SAISIE!$I109*$F94/SAISIE!$J109*100)))))</f>
      </c>
      <c r="H94" s="39">
        <f t="shared" ca="1" si="14"/>
      </c>
      <c r="I94" s="35">
        <f ca="1">IF(SAISIE!$K109="NA",1,"")</f>
      </c>
      <c r="J94" s="35">
        <f ca="1">IF(AND(SAISIE!$K109&lt;&gt;"",SAISIE!$K109&lt;&gt;"OK",SAISIE!$K109&lt;&gt;"NA"),1,"")</f>
      </c>
      <c r="AE94" s="29">
        <f ca="1">IF($H94=1,COUNTIF($H$4:$H94,1),"")</f>
      </c>
      <c r="AF94" s="29">
        <f ca="1">IF(AND($G94&lt;&gt;"",$G94&gt;0,$G94&lt;$AF$1),COUNTIFS($G$4:$G94,"&gt;0",$G$4:$G94,"&lt;"&amp;$AF$1),"")</f>
      </c>
    </row>
    <row r="95" spans="1:32" ht="15.75" x14ac:dyDescent="0.25">
      <c r="A95" s="38" t="str">
        <f>REFERENTIEL!E95</f>
        <v>EN-CNF-1.4</v>
      </c>
      <c r="B95" s="35" t="str">
        <f>REFERENTIEL!A95</f>
        <v>Environnement</v>
      </c>
      <c r="C95" s="35" t="str">
        <f>REFERENTIEL!B95</f>
        <v>Conformité</v>
      </c>
      <c r="D95" s="35" t="str">
        <f>REFERENTIEL!C95</f>
        <v>EN-CNF-1</v>
      </c>
      <c r="E95" s="35" t="str">
        <f>REFERENTIEL!H95</f>
        <v>Binaire</v>
      </c>
      <c r="F95" s="35">
        <f>REFERENTIEL!J95</f>
        <v>1</v>
      </c>
      <c r="G95" s="41">
        <f ca="1">IF(SAISIE!$I110="","",IF($E95="Binaire",SAISIE!$I110*100,IF($E95="Maturité",(SAISIE!$I110-1)*25,IF(OR(SAISIE!$J110="",SAISIE!$J110=0),"",MIN(100,SAISIE!$I110*$F95/SAISIE!$J110*100)))))</f>
      </c>
      <c r="H95" s="39">
        <f t="shared" ca="1" si="14"/>
      </c>
      <c r="I95" s="35">
        <f ca="1">IF(SAISIE!$K110="NA",1,"")</f>
      </c>
      <c r="J95" s="35">
        <f ca="1">IF(AND(SAISIE!$K110&lt;&gt;"",SAISIE!$K110&lt;&gt;"OK",SAISIE!$K110&lt;&gt;"NA"),1,"")</f>
      </c>
      <c r="AE95" s="29">
        <f ca="1">IF($H95=1,COUNTIF($H$4:$H95,1),"")</f>
      </c>
      <c r="AF95" s="29">
        <f ca="1">IF(AND($G95&lt;&gt;"",$G95&gt;0,$G95&lt;$AF$1),COUNTIFS($G$4:$G95,"&gt;0",$G$4:$G95,"&lt;"&amp;$AF$1),"")</f>
      </c>
    </row>
    <row r="96" spans="1:32" ht="15.75" x14ac:dyDescent="0.25">
      <c r="A96" s="38" t="str">
        <f>REFERENTIEL!E96</f>
        <v>EN-CNF-2.1</v>
      </c>
      <c r="B96" s="35" t="str">
        <f>REFERENTIEL!A96</f>
        <v>Environnement</v>
      </c>
      <c r="C96" s="35" t="str">
        <f>REFERENTIEL!B96</f>
        <v>Conformité</v>
      </c>
      <c r="D96" s="35" t="str">
        <f>REFERENTIEL!C96</f>
        <v>EN-CNF-2</v>
      </c>
      <c r="E96" s="35" t="str">
        <f>REFERENTIEL!H96</f>
        <v>Binaire</v>
      </c>
      <c r="F96" s="35">
        <f>REFERENTIEL!J96</f>
        <v>1</v>
      </c>
      <c r="G96" s="41">
        <f ca="1">IF(SAISIE!$I111="","",IF($E96="Binaire",SAISIE!$I111*100,IF($E96="Maturité",(SAISIE!$I111-1)*25,IF(OR(SAISIE!$J111="",SAISIE!$J111=0),"",MIN(100,SAISIE!$I111*$F96/SAISIE!$J111*100)))))</f>
      </c>
      <c r="H96" s="39">
        <f t="shared" ca="1" si="14"/>
      </c>
      <c r="I96" s="35">
        <f ca="1">IF(SAISIE!$K111="NA",1,"")</f>
      </c>
      <c r="J96" s="35">
        <f ca="1">IF(AND(SAISIE!$K111&lt;&gt;"",SAISIE!$K111&lt;&gt;"OK",SAISIE!$K111&lt;&gt;"NA"),1,"")</f>
      </c>
      <c r="AE96" s="29">
        <f ca="1">IF($H96=1,COUNTIF($H$4:$H96,1),"")</f>
      </c>
      <c r="AF96" s="29">
        <f ca="1">IF(AND($G96&lt;&gt;"",$G96&gt;0,$G96&lt;$AF$1),COUNTIFS($G$4:$G96,"&gt;0",$G$4:$G96,"&lt;"&amp;$AF$1),"")</f>
      </c>
    </row>
    <row r="97" spans="1:32" ht="15.75" x14ac:dyDescent="0.25">
      <c r="A97" s="38" t="str">
        <f>REFERENTIEL!E97</f>
        <v>EN-CNF-2.2</v>
      </c>
      <c r="B97" s="35" t="str">
        <f>REFERENTIEL!A97</f>
        <v>Environnement</v>
      </c>
      <c r="C97" s="35" t="str">
        <f>REFERENTIEL!B97</f>
        <v>Conformité</v>
      </c>
      <c r="D97" s="35" t="str">
        <f>REFERENTIEL!C97</f>
        <v>EN-CNF-2</v>
      </c>
      <c r="E97" s="35" t="str">
        <f>REFERENTIEL!H97</f>
        <v>Binaire</v>
      </c>
      <c r="F97" s="35">
        <f>REFERENTIEL!J97</f>
        <v>1</v>
      </c>
      <c r="G97" s="41">
        <f ca="1">IF(SAISIE!$I112="","",IF($E97="Binaire",SAISIE!$I112*100,IF($E97="Maturité",(SAISIE!$I112-1)*25,IF(OR(SAISIE!$J112="",SAISIE!$J112=0),"",MIN(100,SAISIE!$I112*$F97/SAISIE!$J112*100)))))</f>
      </c>
      <c r="H97" s="39">
        <f t="shared" ca="1" si="14"/>
      </c>
      <c r="I97" s="35">
        <f ca="1">IF(SAISIE!$K112="NA",1,"")</f>
      </c>
      <c r="J97" s="35">
        <f ca="1">IF(AND(SAISIE!$K112&lt;&gt;"",SAISIE!$K112&lt;&gt;"OK",SAISIE!$K112&lt;&gt;"NA"),1,"")</f>
      </c>
      <c r="AE97" s="29">
        <f ca="1">IF($H97=1,COUNTIF($H$4:$H97,1),"")</f>
      </c>
      <c r="AF97" s="29">
        <f ca="1">IF(AND($G97&lt;&gt;"",$G97&gt;0,$G97&lt;$AF$1),COUNTIFS($G$4:$G97,"&gt;0",$G$4:$G97,"&lt;"&amp;$AF$1),"")</f>
      </c>
    </row>
    <row r="98" spans="1:32" ht="15.75" x14ac:dyDescent="0.25">
      <c r="A98" s="38" t="str">
        <f>REFERENTIEL!E98</f>
        <v>EN-CNF-2.3</v>
      </c>
      <c r="B98" s="35" t="str">
        <f>REFERENTIEL!A98</f>
        <v>Environnement</v>
      </c>
      <c r="C98" s="35" t="str">
        <f>REFERENTIEL!B98</f>
        <v>Conformité</v>
      </c>
      <c r="D98" s="35" t="str">
        <f>REFERENTIEL!C98</f>
        <v>EN-CNF-2</v>
      </c>
      <c r="E98" s="35" t="str">
        <f>REFERENTIEL!H98</f>
        <v>Binaire</v>
      </c>
      <c r="F98" s="35">
        <f>REFERENTIEL!J98</f>
        <v>1</v>
      </c>
      <c r="G98" s="41">
        <f ca="1">IF(SAISIE!$I113="","",IF($E98="Binaire",SAISIE!$I113*100,IF($E98="Maturité",(SAISIE!$I113-1)*25,IF(OR(SAISIE!$J113="",SAISIE!$J113=0),"",MIN(100,SAISIE!$I113*$F98/SAISIE!$J113*100)))))</f>
      </c>
      <c r="H98" s="39">
        <f t="shared" ca="1" si="14"/>
      </c>
      <c r="I98" s="35">
        <f ca="1">IF(SAISIE!$K113="NA",1,"")</f>
      </c>
      <c r="J98" s="35">
        <f ca="1">IF(AND(SAISIE!$K113&lt;&gt;"",SAISIE!$K113&lt;&gt;"OK",SAISIE!$K113&lt;&gt;"NA"),1,"")</f>
      </c>
      <c r="AE98" s="29">
        <f ca="1">IF($H98=1,COUNTIF($H$4:$H98,1),"")</f>
      </c>
      <c r="AF98" s="29">
        <f ca="1">IF(AND($G98&lt;&gt;"",$G98&gt;0,$G98&lt;$AF$1),COUNTIFS($G$4:$G98,"&gt;0",$G$4:$G98,"&lt;"&amp;$AF$1),"")</f>
      </c>
    </row>
    <row r="99" spans="1:32" ht="15.75" x14ac:dyDescent="0.25">
      <c r="A99" s="38" t="str">
        <f>REFERENTIEL!E99</f>
        <v>EN-CNF-2.4</v>
      </c>
      <c r="B99" s="35" t="str">
        <f>REFERENTIEL!A99</f>
        <v>Environnement</v>
      </c>
      <c r="C99" s="35" t="str">
        <f>REFERENTIEL!B99</f>
        <v>Conformité</v>
      </c>
      <c r="D99" s="35" t="str">
        <f>REFERENTIEL!C99</f>
        <v>EN-CNF-2</v>
      </c>
      <c r="E99" s="35" t="str">
        <f>REFERENTIEL!H99</f>
        <v>Binaire</v>
      </c>
      <c r="F99" s="35">
        <f>REFERENTIEL!J99</f>
        <v>1</v>
      </c>
      <c r="G99" s="41">
        <f ca="1">IF(SAISIE!$I114="","",IF($E99="Binaire",SAISIE!$I114*100,IF($E99="Maturité",(SAISIE!$I114-1)*25,IF(OR(SAISIE!$J114="",SAISIE!$J114=0),"",MIN(100,SAISIE!$I114*$F99/SAISIE!$J114*100)))))</f>
      </c>
      <c r="H99" s="39">
        <f t="shared" ca="1" si="14"/>
      </c>
      <c r="I99" s="35">
        <f ca="1">IF(SAISIE!$K114="NA",1,"")</f>
      </c>
      <c r="J99" s="35">
        <f ca="1">IF(AND(SAISIE!$K114&lt;&gt;"",SAISIE!$K114&lt;&gt;"OK",SAISIE!$K114&lt;&gt;"NA"),1,"")</f>
      </c>
      <c r="AE99" s="29">
        <f ca="1">IF($H99=1,COUNTIF($H$4:$H99,1),"")</f>
      </c>
      <c r="AF99" s="29">
        <f ca="1">IF(AND($G99&lt;&gt;"",$G99&gt;0,$G99&lt;$AF$1),COUNTIFS($G$4:$G99,"&gt;0",$G$4:$G99,"&lt;"&amp;$AF$1),"")</f>
      </c>
    </row>
    <row r="100" spans="1:32" ht="15.75" x14ac:dyDescent="0.25">
      <c r="A100" s="38" t="str">
        <f>REFERENTIEL!E100</f>
        <v>EN-CNF-3.1</v>
      </c>
      <c r="B100" s="35" t="str">
        <f>REFERENTIEL!A100</f>
        <v>Environnement</v>
      </c>
      <c r="C100" s="35" t="str">
        <f>REFERENTIEL!B100</f>
        <v>Conformité</v>
      </c>
      <c r="D100" s="35" t="str">
        <f>REFERENTIEL!C100</f>
        <v>EN-CNF-3</v>
      </c>
      <c r="E100" s="35" t="str">
        <f>REFERENTIEL!H100</f>
        <v>Binaire</v>
      </c>
      <c r="F100" s="35">
        <f>REFERENTIEL!J100</f>
        <v>1</v>
      </c>
      <c r="G100" s="41">
        <f ca="1">IF(SAISIE!$I115="","",IF($E100="Binaire",SAISIE!$I115*100,IF($E100="Maturité",(SAISIE!$I115-1)*25,IF(OR(SAISIE!$J115="",SAISIE!$J115=0),"",MIN(100,SAISIE!$I115*$F100/SAISIE!$J115*100)))))</f>
      </c>
      <c r="H100" s="39">
        <f t="shared" ca="1" si="14"/>
      </c>
      <c r="I100" s="35">
        <f ca="1">IF(SAISIE!$K115="NA",1,"")</f>
      </c>
      <c r="J100" s="35">
        <f ca="1">IF(AND(SAISIE!$K115&lt;&gt;"",SAISIE!$K115&lt;&gt;"OK",SAISIE!$K115&lt;&gt;"NA"),1,"")</f>
      </c>
      <c r="AE100" s="29">
        <f ca="1">IF($H100=1,COUNTIF($H$4:$H100,1),"")</f>
      </c>
      <c r="AF100" s="29">
        <f ca="1">IF(AND($G100&lt;&gt;"",$G100&gt;0,$G100&lt;$AF$1),COUNTIFS($G$4:$G100,"&gt;0",$G$4:$G100,"&lt;"&amp;$AF$1),"")</f>
      </c>
    </row>
    <row r="101" spans="1:32" ht="15.75" x14ac:dyDescent="0.25">
      <c r="A101" s="38" t="str">
        <f>REFERENTIEL!E101</f>
        <v>EN-CNF-3.2</v>
      </c>
      <c r="B101" s="35" t="str">
        <f>REFERENTIEL!A101</f>
        <v>Environnement</v>
      </c>
      <c r="C101" s="35" t="str">
        <f>REFERENTIEL!B101</f>
        <v>Conformité</v>
      </c>
      <c r="D101" s="35" t="str">
        <f>REFERENTIEL!C101</f>
        <v>EN-CNF-3</v>
      </c>
      <c r="E101" s="35" t="str">
        <f>REFERENTIEL!H101</f>
        <v>Binaire</v>
      </c>
      <c r="F101" s="35">
        <f>REFERENTIEL!J101</f>
        <v>1</v>
      </c>
      <c r="G101" s="41">
        <f ca="1">IF(SAISIE!$I116="","",IF($E101="Binaire",SAISIE!$I116*100,IF($E101="Maturité",(SAISIE!$I116-1)*25,IF(OR(SAISIE!$J116="",SAISIE!$J116=0),"",MIN(100,SAISIE!$I116*$F101/SAISIE!$J116*100)))))</f>
      </c>
      <c r="H101" s="39">
        <f t="shared" ca="1" si="14"/>
      </c>
      <c r="I101" s="35">
        <f ca="1">IF(SAISIE!$K116="NA",1,"")</f>
      </c>
      <c r="J101" s="35">
        <f ca="1">IF(AND(SAISIE!$K116&lt;&gt;"",SAISIE!$K116&lt;&gt;"OK",SAISIE!$K116&lt;&gt;"NA"),1,"")</f>
      </c>
      <c r="AE101" s="29">
        <f ca="1">IF($H101=1,COUNTIF($H$4:$H101,1),"")</f>
      </c>
      <c r="AF101" s="29">
        <f ca="1">IF(AND($G101&lt;&gt;"",$G101&gt;0,$G101&lt;$AF$1),COUNTIFS($G$4:$G101,"&gt;0",$G$4:$G101,"&lt;"&amp;$AF$1),"")</f>
      </c>
    </row>
    <row r="102" spans="1:32" ht="15.75" x14ac:dyDescent="0.25">
      <c r="A102" s="38" t="str">
        <f>REFERENTIEL!E102</f>
        <v>EN-CNF-3.3</v>
      </c>
      <c r="B102" s="35" t="str">
        <f>REFERENTIEL!A102</f>
        <v>Environnement</v>
      </c>
      <c r="C102" s="35" t="str">
        <f>REFERENTIEL!B102</f>
        <v>Conformité</v>
      </c>
      <c r="D102" s="35" t="str">
        <f>REFERENTIEL!C102</f>
        <v>EN-CNF-3</v>
      </c>
      <c r="E102" s="35" t="str">
        <f>REFERENTIEL!H102</f>
        <v>Binaire</v>
      </c>
      <c r="F102" s="35">
        <f>REFERENTIEL!J102</f>
        <v>1</v>
      </c>
      <c r="G102" s="41">
        <f ca="1">IF(SAISIE!$I117="","",IF($E102="Binaire",SAISIE!$I117*100,IF($E102="Maturité",(SAISIE!$I117-1)*25,IF(OR(SAISIE!$J117="",SAISIE!$J117=0),"",MIN(100,SAISIE!$I117*$F102/SAISIE!$J117*100)))))</f>
      </c>
      <c r="H102" s="39">
        <f t="shared" ca="1" si="14"/>
      </c>
      <c r="I102" s="35">
        <f ca="1">IF(SAISIE!$K117="NA",1,"")</f>
      </c>
      <c r="J102" s="35">
        <f ca="1">IF(AND(SAISIE!$K117&lt;&gt;"",SAISIE!$K117&lt;&gt;"OK",SAISIE!$K117&lt;&gt;"NA"),1,"")</f>
      </c>
      <c r="AE102" s="29">
        <f ca="1">IF($H102=1,COUNTIF($H$4:$H102,1),"")</f>
      </c>
      <c r="AF102" s="29">
        <f ca="1">IF(AND($G102&lt;&gt;"",$G102&gt;0,$G102&lt;$AF$1),COUNTIFS($G$4:$G102,"&gt;0",$G$4:$G102,"&lt;"&amp;$AF$1),"")</f>
      </c>
    </row>
    <row r="103" spans="1:32" ht="15.75" x14ac:dyDescent="0.25">
      <c r="A103" s="38" t="str">
        <f>REFERENTIEL!E103</f>
        <v>EN-CNF-3.4</v>
      </c>
      <c r="B103" s="35" t="str">
        <f>REFERENTIEL!A103</f>
        <v>Environnement</v>
      </c>
      <c r="C103" s="35" t="str">
        <f>REFERENTIEL!B103</f>
        <v>Conformité</v>
      </c>
      <c r="D103" s="35" t="str">
        <f>REFERENTIEL!C103</f>
        <v>EN-CNF-3</v>
      </c>
      <c r="E103" s="35" t="str">
        <f>REFERENTIEL!H103</f>
        <v>Binaire</v>
      </c>
      <c r="F103" s="35">
        <f>REFERENTIEL!J103</f>
        <v>1</v>
      </c>
      <c r="G103" s="41">
        <f ca="1">IF(SAISIE!$I118="","",IF($E103="Binaire",SAISIE!$I118*100,IF($E103="Maturité",(SAISIE!$I118-1)*25,IF(OR(SAISIE!$J118="",SAISIE!$J118=0),"",MIN(100,SAISIE!$I118*$F103/SAISIE!$J118*100)))))</f>
      </c>
      <c r="H103" s="39">
        <f t="shared" ca="1" si="14"/>
      </c>
      <c r="I103" s="35">
        <f ca="1">IF(SAISIE!$K118="NA",1,"")</f>
      </c>
      <c r="J103" s="35">
        <f ca="1">IF(AND(SAISIE!$K118&lt;&gt;"",SAISIE!$K118&lt;&gt;"OK",SAISIE!$K118&lt;&gt;"NA"),1,"")</f>
      </c>
      <c r="AE103" s="29">
        <f ca="1">IF($H103=1,COUNTIF($H$4:$H103,1),"")</f>
      </c>
      <c r="AF103" s="29">
        <f ca="1">IF(AND($G103&lt;&gt;"",$G103&gt;0,$G103&lt;$AF$1),COUNTIFS($G$4:$G103,"&gt;0",$G$4:$G103,"&lt;"&amp;$AF$1),"")</f>
      </c>
    </row>
    <row r="104" spans="1:32" ht="15.75" x14ac:dyDescent="0.25">
      <c r="A104" s="38" t="str">
        <f>REFERENTIEL!E104</f>
        <v>SO-PRV-1.1</v>
      </c>
      <c r="B104" s="38" t="str">
        <f>REFERENTIEL!A104</f>
        <v>Social</v>
      </c>
      <c r="C104" s="38" t="str">
        <f>REFERENTIEL!B104</f>
        <v>Prévention</v>
      </c>
      <c r="D104" s="35" t="str">
        <f>REFERENTIEL!C104</f>
        <v>SO-PRV-1</v>
      </c>
      <c r="E104" s="35" t="str">
        <f>REFERENTIEL!H104</f>
        <v>Binaire</v>
      </c>
      <c r="F104" s="35">
        <f>REFERENTIEL!J104</f>
        <v>1</v>
      </c>
      <c r="G104" s="41">
        <f ca="1">IF(SAISIE!$I119="","",IF($E104="Binaire",SAISIE!$I119*100,IF($E104="Maturité",(SAISIE!$I119-1)*25,IF(OR(SAISIE!$J119="",SAISIE!$J119=0),"",MIN(100,SAISIE!$I119*$F104/SAISIE!$J119*100)))))</f>
      </c>
      <c r="H104" s="39">
        <f t="shared" ca="1" si="14"/>
      </c>
      <c r="I104" s="35">
        <f ca="1">IF(SAISIE!$K119="NA",1,"")</f>
      </c>
      <c r="J104" s="35">
        <f ca="1">IF(AND(SAISIE!$K119&lt;&gt;"",SAISIE!$K119&lt;&gt;"OK",SAISIE!$K119&lt;&gt;"NA"),1,"")</f>
      </c>
      <c r="AE104" s="29">
        <f ca="1">IF($H104=1,COUNTIF($H$4:$H104,1),"")</f>
      </c>
      <c r="AF104" s="29">
        <f ca="1">IF(AND($G104&lt;&gt;"",$G104&gt;0,$G104&lt;$AF$1),COUNTIFS($G$4:$G104,"&gt;0",$G$4:$G104,"&lt;"&amp;$AF$1),"")</f>
      </c>
    </row>
    <row r="105" spans="1:32" ht="15.75" x14ac:dyDescent="0.25">
      <c r="A105" s="38" t="str">
        <f>REFERENTIEL!E105</f>
        <v>SO-PRV-1.2</v>
      </c>
      <c r="B105" s="35" t="str">
        <f>REFERENTIEL!A105</f>
        <v>Social</v>
      </c>
      <c r="C105" s="35" t="str">
        <f>REFERENTIEL!B105</f>
        <v>Prévention</v>
      </c>
      <c r="D105" s="35" t="str">
        <f>REFERENTIEL!C105</f>
        <v>SO-PRV-1</v>
      </c>
      <c r="E105" s="35" t="str">
        <f>REFERENTIEL!H105</f>
        <v>Binaire</v>
      </c>
      <c r="F105" s="35">
        <f>REFERENTIEL!J105</f>
        <v>1</v>
      </c>
      <c r="G105" s="41">
        <f ca="1">IF(SAISIE!$I120="","",IF($E105="Binaire",SAISIE!$I120*100,IF($E105="Maturité",(SAISIE!$I120-1)*25,IF(OR(SAISIE!$J120="",SAISIE!$J120=0),"",MIN(100,SAISIE!$I120*$F105/SAISIE!$J120*100)))))</f>
      </c>
      <c r="H105" s="39">
        <f t="shared" ca="1" si="14"/>
      </c>
      <c r="I105" s="35">
        <f ca="1">IF(SAISIE!$K120="NA",1,"")</f>
      </c>
      <c r="J105" s="35">
        <f ca="1">IF(AND(SAISIE!$K120&lt;&gt;"",SAISIE!$K120&lt;&gt;"OK",SAISIE!$K120&lt;&gt;"NA"),1,"")</f>
      </c>
      <c r="AE105" s="29">
        <f ca="1">IF($H105=1,COUNTIF($H$4:$H105,1),"")</f>
      </c>
      <c r="AF105" s="29">
        <f ca="1">IF(AND($G105&lt;&gt;"",$G105&gt;0,$G105&lt;$AF$1),COUNTIFS($G$4:$G105,"&gt;0",$G$4:$G105,"&lt;"&amp;$AF$1),"")</f>
      </c>
    </row>
    <row r="106" spans="1:32" ht="15.75" x14ac:dyDescent="0.25">
      <c r="A106" s="38" t="str">
        <f>REFERENTIEL!E106</f>
        <v>SO-PRV-1.3</v>
      </c>
      <c r="B106" s="35" t="str">
        <f>REFERENTIEL!A106</f>
        <v>Social</v>
      </c>
      <c r="C106" s="35" t="str">
        <f>REFERENTIEL!B106</f>
        <v>Prévention</v>
      </c>
      <c r="D106" s="35" t="str">
        <f>REFERENTIEL!C106</f>
        <v>SO-PRV-1</v>
      </c>
      <c r="E106" s="35" t="str">
        <f>REFERENTIEL!H106</f>
        <v>Binaire</v>
      </c>
      <c r="F106" s="35">
        <f>REFERENTIEL!J106</f>
        <v>1</v>
      </c>
      <c r="G106" s="41">
        <f ca="1">IF(SAISIE!$I121="","",IF($E106="Binaire",SAISIE!$I121*100,IF($E106="Maturité",(SAISIE!$I121-1)*25,IF(OR(SAISIE!$J121="",SAISIE!$J121=0),"",MIN(100,SAISIE!$I121*$F106/SAISIE!$J121*100)))))</f>
      </c>
      <c r="H106" s="39">
        <f t="shared" ca="1" si="14"/>
      </c>
      <c r="I106" s="35">
        <f ca="1">IF(SAISIE!$K121="NA",1,"")</f>
      </c>
      <c r="J106" s="35">
        <f ca="1">IF(AND(SAISIE!$K121&lt;&gt;"",SAISIE!$K121&lt;&gt;"OK",SAISIE!$K121&lt;&gt;"NA"),1,"")</f>
      </c>
      <c r="AE106" s="29">
        <f ca="1">IF($H106=1,COUNTIF($H$4:$H106,1),"")</f>
      </c>
      <c r="AF106" s="29">
        <f ca="1">IF(AND($G106&lt;&gt;"",$G106&gt;0,$G106&lt;$AF$1),COUNTIFS($G$4:$G106,"&gt;0",$G$4:$G106,"&lt;"&amp;$AF$1),"")</f>
      </c>
    </row>
    <row r="107" spans="1:32" ht="15.75" x14ac:dyDescent="0.25">
      <c r="A107" s="38" t="str">
        <f>REFERENTIEL!E107</f>
        <v>SO-PRV-1.4</v>
      </c>
      <c r="B107" s="35" t="str">
        <f>REFERENTIEL!A107</f>
        <v>Social</v>
      </c>
      <c r="C107" s="35" t="str">
        <f>REFERENTIEL!B107</f>
        <v>Prévention</v>
      </c>
      <c r="D107" s="35" t="str">
        <f>REFERENTIEL!C107</f>
        <v>SO-PRV-1</v>
      </c>
      <c r="E107" s="35" t="str">
        <f>REFERENTIEL!H107</f>
        <v>Binaire</v>
      </c>
      <c r="F107" s="35">
        <f>REFERENTIEL!J107</f>
        <v>1</v>
      </c>
      <c r="G107" s="41">
        <f ca="1">IF(SAISIE!$I122="","",IF($E107="Binaire",SAISIE!$I122*100,IF($E107="Maturité",(SAISIE!$I122-1)*25,IF(OR(SAISIE!$J122="",SAISIE!$J122=0),"",MIN(100,SAISIE!$I122*$F107/SAISIE!$J122*100)))))</f>
      </c>
      <c r="H107" s="39">
        <f t="shared" ca="1" si="14"/>
      </c>
      <c r="I107" s="35">
        <f ca="1">IF(SAISIE!$K122="NA",1,"")</f>
      </c>
      <c r="J107" s="35">
        <f ca="1">IF(AND(SAISIE!$K122&lt;&gt;"",SAISIE!$K122&lt;&gt;"OK",SAISIE!$K122&lt;&gt;"NA"),1,"")</f>
      </c>
      <c r="AE107" s="29">
        <f ca="1">IF($H107=1,COUNTIF($H$4:$H107,1),"")</f>
      </c>
      <c r="AF107" s="29">
        <f ca="1">IF(AND($G107&lt;&gt;"",$G107&gt;0,$G107&lt;$AF$1),COUNTIFS($G$4:$G107,"&gt;0",$G$4:$G107,"&lt;"&amp;$AF$1),"")</f>
      </c>
    </row>
    <row r="108" spans="1:32" ht="15.75" x14ac:dyDescent="0.25">
      <c r="A108" s="38" t="str">
        <f>REFERENTIEL!E108</f>
        <v>SO-PRV-2.1</v>
      </c>
      <c r="B108" s="35" t="str">
        <f>REFERENTIEL!A108</f>
        <v>Social</v>
      </c>
      <c r="C108" s="35" t="str">
        <f>REFERENTIEL!B108</f>
        <v>Prévention</v>
      </c>
      <c r="D108" s="35" t="str">
        <f>REFERENTIEL!C108</f>
        <v>SO-PRV-2</v>
      </c>
      <c r="E108" s="35" t="str">
        <f>REFERENTIEL!H108</f>
        <v>Binaire</v>
      </c>
      <c r="F108" s="35">
        <f>REFERENTIEL!J108</f>
        <v>1</v>
      </c>
      <c r="G108" s="41">
        <f ca="1">IF(SAISIE!$I123="","",IF($E108="Binaire",SAISIE!$I123*100,IF($E108="Maturité",(SAISIE!$I123-1)*25,IF(OR(SAISIE!$J123="",SAISIE!$J123=0),"",MIN(100,SAISIE!$I123*$F108/SAISIE!$J123*100)))))</f>
      </c>
      <c r="H108" s="39">
        <f t="shared" ca="1" si="14"/>
      </c>
      <c r="I108" s="35">
        <f ca="1">IF(SAISIE!$K123="NA",1,"")</f>
      </c>
      <c r="J108" s="35">
        <f ca="1">IF(AND(SAISIE!$K123&lt;&gt;"",SAISIE!$K123&lt;&gt;"OK",SAISIE!$K123&lt;&gt;"NA"),1,"")</f>
      </c>
      <c r="AE108" s="29">
        <f ca="1">IF($H108=1,COUNTIF($H$4:$H108,1),"")</f>
      </c>
      <c r="AF108" s="29">
        <f ca="1">IF(AND($G108&lt;&gt;"",$G108&gt;0,$G108&lt;$AF$1),COUNTIFS($G$4:$G108,"&gt;0",$G$4:$G108,"&lt;"&amp;$AF$1),"")</f>
      </c>
    </row>
    <row r="109" spans="1:32" ht="15.75" x14ac:dyDescent="0.25">
      <c r="A109" s="38" t="str">
        <f>REFERENTIEL!E109</f>
        <v>SO-PRV-2.2</v>
      </c>
      <c r="B109" s="35" t="str">
        <f>REFERENTIEL!A109</f>
        <v>Social</v>
      </c>
      <c r="C109" s="35" t="str">
        <f>REFERENTIEL!B109</f>
        <v>Prévention</v>
      </c>
      <c r="D109" s="35" t="str">
        <f>REFERENTIEL!C109</f>
        <v>SO-PRV-2</v>
      </c>
      <c r="E109" s="35" t="str">
        <f>REFERENTIEL!H109</f>
        <v>Binaire</v>
      </c>
      <c r="F109" s="35">
        <f>REFERENTIEL!J109</f>
        <v>1</v>
      </c>
      <c r="G109" s="41">
        <f ca="1">IF(SAISIE!$I124="","",IF($E109="Binaire",SAISIE!$I124*100,IF($E109="Maturité",(SAISIE!$I124-1)*25,IF(OR(SAISIE!$J124="",SAISIE!$J124=0),"",MIN(100,SAISIE!$I124*$F109/SAISIE!$J124*100)))))</f>
      </c>
      <c r="H109" s="39">
        <f t="shared" ca="1" si="14"/>
      </c>
      <c r="I109" s="35">
        <f ca="1">IF(SAISIE!$K124="NA",1,"")</f>
      </c>
      <c r="J109" s="35">
        <f ca="1">IF(AND(SAISIE!$K124&lt;&gt;"",SAISIE!$K124&lt;&gt;"OK",SAISIE!$K124&lt;&gt;"NA"),1,"")</f>
      </c>
      <c r="AE109" s="29">
        <f ca="1">IF($H109=1,COUNTIF($H$4:$H109,1),"")</f>
      </c>
      <c r="AF109" s="29">
        <f ca="1">IF(AND($G109&lt;&gt;"",$G109&gt;0,$G109&lt;$AF$1),COUNTIFS($G$4:$G109,"&gt;0",$G$4:$G109,"&lt;"&amp;$AF$1),"")</f>
      </c>
    </row>
    <row r="110" spans="1:32" ht="15.75" x14ac:dyDescent="0.25">
      <c r="A110" s="38" t="str">
        <f>REFERENTIEL!E110</f>
        <v>SO-PRV-2.3</v>
      </c>
      <c r="B110" s="35" t="str">
        <f>REFERENTIEL!A110</f>
        <v>Social</v>
      </c>
      <c r="C110" s="35" t="str">
        <f>REFERENTIEL!B110</f>
        <v>Prévention</v>
      </c>
      <c r="D110" s="35" t="str">
        <f>REFERENTIEL!C110</f>
        <v>SO-PRV-2</v>
      </c>
      <c r="E110" s="35" t="str">
        <f>REFERENTIEL!H110</f>
        <v>Binaire</v>
      </c>
      <c r="F110" s="35">
        <f>REFERENTIEL!J110</f>
        <v>1</v>
      </c>
      <c r="G110" s="41">
        <f ca="1">IF(SAISIE!$I125="","",IF($E110="Binaire",SAISIE!$I125*100,IF($E110="Maturité",(SAISIE!$I125-1)*25,IF(OR(SAISIE!$J125="",SAISIE!$J125=0),"",MIN(100,SAISIE!$I125*$F110/SAISIE!$J125*100)))))</f>
      </c>
      <c r="H110" s="39">
        <f t="shared" ca="1" si="14"/>
      </c>
      <c r="I110" s="35">
        <f ca="1">IF(SAISIE!$K125="NA",1,"")</f>
      </c>
      <c r="J110" s="35">
        <f ca="1">IF(AND(SAISIE!$K125&lt;&gt;"",SAISIE!$K125&lt;&gt;"OK",SAISIE!$K125&lt;&gt;"NA"),1,"")</f>
      </c>
      <c r="AE110" s="29">
        <f ca="1">IF($H110=1,COUNTIF($H$4:$H110,1),"")</f>
      </c>
      <c r="AF110" s="29">
        <f ca="1">IF(AND($G110&lt;&gt;"",$G110&gt;0,$G110&lt;$AF$1),COUNTIFS($G$4:$G110,"&gt;0",$G$4:$G110,"&lt;"&amp;$AF$1),"")</f>
      </c>
    </row>
    <row r="111" spans="1:32" ht="15.75" x14ac:dyDescent="0.25">
      <c r="A111" s="38" t="str">
        <f>REFERENTIEL!E111</f>
        <v>SO-PRV-2.4</v>
      </c>
      <c r="B111" s="35" t="str">
        <f>REFERENTIEL!A111</f>
        <v>Social</v>
      </c>
      <c r="C111" s="35" t="str">
        <f>REFERENTIEL!B111</f>
        <v>Prévention</v>
      </c>
      <c r="D111" s="35" t="str">
        <f>REFERENTIEL!C111</f>
        <v>SO-PRV-2</v>
      </c>
      <c r="E111" s="35" t="str">
        <f>REFERENTIEL!H111</f>
        <v>Binaire</v>
      </c>
      <c r="F111" s="35">
        <f>REFERENTIEL!J111</f>
        <v>1</v>
      </c>
      <c r="G111" s="41">
        <f ca="1">IF(SAISIE!$I126="","",IF($E111="Binaire",SAISIE!$I126*100,IF($E111="Maturité",(SAISIE!$I126-1)*25,IF(OR(SAISIE!$J126="",SAISIE!$J126=0),"",MIN(100,SAISIE!$I126*$F111/SAISIE!$J126*100)))))</f>
      </c>
      <c r="H111" s="39">
        <f t="shared" ca="1" si="14"/>
      </c>
      <c r="I111" s="35">
        <f ca="1">IF(SAISIE!$K126="NA",1,"")</f>
      </c>
      <c r="J111" s="35">
        <f ca="1">IF(AND(SAISIE!$K126&lt;&gt;"",SAISIE!$K126&lt;&gt;"OK",SAISIE!$K126&lt;&gt;"NA"),1,"")</f>
      </c>
      <c r="AE111" s="29">
        <f ca="1">IF($H111=1,COUNTIF($H$4:$H111,1),"")</f>
      </c>
      <c r="AF111" s="29">
        <f ca="1">IF(AND($G111&lt;&gt;"",$G111&gt;0,$G111&lt;$AF$1),COUNTIFS($G$4:$G111,"&gt;0",$G$4:$G111,"&lt;"&amp;$AF$1),"")</f>
      </c>
    </row>
    <row r="112" spans="1:32" ht="15.75" x14ac:dyDescent="0.25">
      <c r="A112" s="38" t="str">
        <f>REFERENTIEL!E112</f>
        <v>SO-PRT-1.1</v>
      </c>
      <c r="B112" s="35" t="str">
        <f>REFERENTIEL!A112</f>
        <v>Social</v>
      </c>
      <c r="C112" s="38" t="str">
        <f>REFERENTIEL!B112</f>
        <v>Protection</v>
      </c>
      <c r="D112" s="35" t="str">
        <f>REFERENTIEL!C112</f>
        <v>SO-PRT-1</v>
      </c>
      <c r="E112" s="35" t="str">
        <f>REFERENTIEL!H112</f>
        <v>Binaire</v>
      </c>
      <c r="F112" s="35">
        <f>REFERENTIEL!J112</f>
        <v>1</v>
      </c>
      <c r="G112" s="41">
        <f ca="1">IF(SAISIE!$I127="","",IF($E112="Binaire",SAISIE!$I127*100,IF($E112="Maturité",(SAISIE!$I127-1)*25,IF(OR(SAISIE!$J127="",SAISIE!$J127=0),"",MIN(100,SAISIE!$I127*$F112/SAISIE!$J127*100)))))</f>
      </c>
      <c r="H112" s="39">
        <f t="shared" ca="1" si="14"/>
      </c>
      <c r="I112" s="35">
        <f ca="1">IF(SAISIE!$K127="NA",1,"")</f>
      </c>
      <c r="J112" s="35">
        <f ca="1">IF(AND(SAISIE!$K127&lt;&gt;"",SAISIE!$K127&lt;&gt;"OK",SAISIE!$K127&lt;&gt;"NA"),1,"")</f>
      </c>
      <c r="AE112" s="29">
        <f ca="1">IF($H112=1,COUNTIF($H$4:$H112,1),"")</f>
      </c>
      <c r="AF112" s="29">
        <f ca="1">IF(AND($G112&lt;&gt;"",$G112&gt;0,$G112&lt;$AF$1),COUNTIFS($G$4:$G112,"&gt;0",$G$4:$G112,"&lt;"&amp;$AF$1),"")</f>
      </c>
    </row>
    <row r="113" spans="1:32" ht="15.75" x14ac:dyDescent="0.25">
      <c r="A113" s="38" t="str">
        <f>REFERENTIEL!E113</f>
        <v>SO-PRT-1.2</v>
      </c>
      <c r="B113" s="35" t="str">
        <f>REFERENTIEL!A113</f>
        <v>Social</v>
      </c>
      <c r="C113" s="35" t="str">
        <f>REFERENTIEL!B113</f>
        <v>Protection</v>
      </c>
      <c r="D113" s="35" t="str">
        <f>REFERENTIEL!C113</f>
        <v>SO-PRT-1</v>
      </c>
      <c r="E113" s="35" t="str">
        <f>REFERENTIEL!H113</f>
        <v>Binaire</v>
      </c>
      <c r="F113" s="35">
        <f>REFERENTIEL!J113</f>
        <v>1</v>
      </c>
      <c r="G113" s="41">
        <f ca="1">IF(SAISIE!$I128="","",IF($E113="Binaire",SAISIE!$I128*100,IF($E113="Maturité",(SAISIE!$I128-1)*25,IF(OR(SAISIE!$J128="",SAISIE!$J128=0),"",MIN(100,SAISIE!$I128*$F113/SAISIE!$J128*100)))))</f>
      </c>
      <c r="H113" s="39">
        <f t="shared" ca="1" si="14"/>
      </c>
      <c r="I113" s="35">
        <f ca="1">IF(SAISIE!$K128="NA",1,"")</f>
      </c>
      <c r="J113" s="35">
        <f ca="1">IF(AND(SAISIE!$K128&lt;&gt;"",SAISIE!$K128&lt;&gt;"OK",SAISIE!$K128&lt;&gt;"NA"),1,"")</f>
      </c>
      <c r="AE113" s="29">
        <f ca="1">IF($H113=1,COUNTIF($H$4:$H113,1),"")</f>
      </c>
      <c r="AF113" s="29">
        <f ca="1">IF(AND($G113&lt;&gt;"",$G113&gt;0,$G113&lt;$AF$1),COUNTIFS($G$4:$G113,"&gt;0",$G$4:$G113,"&lt;"&amp;$AF$1),"")</f>
      </c>
    </row>
    <row r="114" spans="1:32" ht="15.75" x14ac:dyDescent="0.25">
      <c r="A114" s="38" t="str">
        <f>REFERENTIEL!E114</f>
        <v>SO-PRT-1.3</v>
      </c>
      <c r="B114" s="35" t="str">
        <f>REFERENTIEL!A114</f>
        <v>Social</v>
      </c>
      <c r="C114" s="35" t="str">
        <f>REFERENTIEL!B114</f>
        <v>Protection</v>
      </c>
      <c r="D114" s="35" t="str">
        <f>REFERENTIEL!C114</f>
        <v>SO-PRT-1</v>
      </c>
      <c r="E114" s="35" t="str">
        <f>REFERENTIEL!H114</f>
        <v>Binaire</v>
      </c>
      <c r="F114" s="35">
        <f>REFERENTIEL!J114</f>
        <v>1</v>
      </c>
      <c r="G114" s="41">
        <f ca="1">IF(SAISIE!$I129="","",IF($E114="Binaire",SAISIE!$I129*100,IF($E114="Maturité",(SAISIE!$I129-1)*25,IF(OR(SAISIE!$J129="",SAISIE!$J129=0),"",MIN(100,SAISIE!$I129*$F114/SAISIE!$J129*100)))))</f>
      </c>
      <c r="H114" s="39">
        <f t="shared" ca="1" si="14"/>
      </c>
      <c r="I114" s="35">
        <f ca="1">IF(SAISIE!$K129="NA",1,"")</f>
      </c>
      <c r="J114" s="35">
        <f ca="1">IF(AND(SAISIE!$K129&lt;&gt;"",SAISIE!$K129&lt;&gt;"OK",SAISIE!$K129&lt;&gt;"NA"),1,"")</f>
      </c>
      <c r="AE114" s="29">
        <f ca="1">IF($H114=1,COUNTIF($H$4:$H114,1),"")</f>
      </c>
      <c r="AF114" s="29">
        <f ca="1">IF(AND($G114&lt;&gt;"",$G114&gt;0,$G114&lt;$AF$1),COUNTIFS($G$4:$G114,"&gt;0",$G$4:$G114,"&lt;"&amp;$AF$1),"")</f>
      </c>
    </row>
    <row r="115" spans="1:32" ht="15.75" x14ac:dyDescent="0.25">
      <c r="A115" s="38" t="str">
        <f>REFERENTIEL!E115</f>
        <v>SO-PRT-1.4</v>
      </c>
      <c r="B115" s="35" t="str">
        <f>REFERENTIEL!A115</f>
        <v>Social</v>
      </c>
      <c r="C115" s="35" t="str">
        <f>REFERENTIEL!B115</f>
        <v>Protection</v>
      </c>
      <c r="D115" s="35" t="str">
        <f>REFERENTIEL!C115</f>
        <v>SO-PRT-1</v>
      </c>
      <c r="E115" s="35" t="str">
        <f>REFERENTIEL!H115</f>
        <v>Binaire</v>
      </c>
      <c r="F115" s="35">
        <f>REFERENTIEL!J115</f>
        <v>1</v>
      </c>
      <c r="G115" s="41">
        <f ca="1">IF(SAISIE!$I130="","",IF($E115="Binaire",SAISIE!$I130*100,IF($E115="Maturité",(SAISIE!$I130-1)*25,IF(OR(SAISIE!$J130="",SAISIE!$J130=0),"",MIN(100,SAISIE!$I130*$F115/SAISIE!$J130*100)))))</f>
      </c>
      <c r="H115" s="39">
        <f t="shared" ca="1" si="14"/>
      </c>
      <c r="I115" s="35">
        <f ca="1">IF(SAISIE!$K130="NA",1,"")</f>
      </c>
      <c r="J115" s="35">
        <f ca="1">IF(AND(SAISIE!$K130&lt;&gt;"",SAISIE!$K130&lt;&gt;"OK",SAISIE!$K130&lt;&gt;"NA"),1,"")</f>
      </c>
      <c r="AE115" s="29">
        <f ca="1">IF($H115=1,COUNTIF($H$4:$H115,1),"")</f>
      </c>
      <c r="AF115" s="29">
        <f ca="1">IF(AND($G115&lt;&gt;"",$G115&gt;0,$G115&lt;$AF$1),COUNTIFS($G$4:$G115,"&gt;0",$G$4:$G115,"&lt;"&amp;$AF$1),"")</f>
      </c>
    </row>
    <row r="116" spans="1:32" ht="15.75" x14ac:dyDescent="0.25">
      <c r="A116" s="38" t="str">
        <f>REFERENTIEL!E116</f>
        <v>SO-PRT-2.1</v>
      </c>
      <c r="B116" s="35" t="str">
        <f>REFERENTIEL!A116</f>
        <v>Social</v>
      </c>
      <c r="C116" s="35" t="str">
        <f>REFERENTIEL!B116</f>
        <v>Protection</v>
      </c>
      <c r="D116" s="35" t="str">
        <f>REFERENTIEL!C116</f>
        <v>SO-PRT-2</v>
      </c>
      <c r="E116" s="35" t="str">
        <f>REFERENTIEL!H116</f>
        <v>Binaire</v>
      </c>
      <c r="F116" s="35">
        <f>REFERENTIEL!J116</f>
        <v>1</v>
      </c>
      <c r="G116" s="41">
        <f ca="1">IF(SAISIE!$I131="","",IF($E116="Binaire",SAISIE!$I131*100,IF($E116="Maturité",(SAISIE!$I131-1)*25,IF(OR(SAISIE!$J131="",SAISIE!$J131=0),"",MIN(100,SAISIE!$I131*$F116/SAISIE!$J131*100)))))</f>
      </c>
      <c r="H116" s="39">
        <f t="shared" ca="1" si="14"/>
      </c>
      <c r="I116" s="35">
        <f ca="1">IF(SAISIE!$K131="NA",1,"")</f>
      </c>
      <c r="J116" s="35">
        <f ca="1">IF(AND(SAISIE!$K131&lt;&gt;"",SAISIE!$K131&lt;&gt;"OK",SAISIE!$K131&lt;&gt;"NA"),1,"")</f>
      </c>
      <c r="AE116" s="29">
        <f ca="1">IF($H116=1,COUNTIF($H$4:$H116,1),"")</f>
      </c>
      <c r="AF116" s="29">
        <f ca="1">IF(AND($G116&lt;&gt;"",$G116&gt;0,$G116&lt;$AF$1),COUNTIFS($G$4:$G116,"&gt;0",$G$4:$G116,"&lt;"&amp;$AF$1),"")</f>
      </c>
    </row>
    <row r="117" spans="1:32" ht="15.75" x14ac:dyDescent="0.25">
      <c r="A117" s="38" t="str">
        <f>REFERENTIEL!E117</f>
        <v>SO-PRT-2.2</v>
      </c>
      <c r="B117" s="35" t="str">
        <f>REFERENTIEL!A117</f>
        <v>Social</v>
      </c>
      <c r="C117" s="35" t="str">
        <f>REFERENTIEL!B117</f>
        <v>Protection</v>
      </c>
      <c r="D117" s="35" t="str">
        <f>REFERENTIEL!C117</f>
        <v>SO-PRT-2</v>
      </c>
      <c r="E117" s="35" t="str">
        <f>REFERENTIEL!H117</f>
        <v>Binaire</v>
      </c>
      <c r="F117" s="35">
        <f>REFERENTIEL!J117</f>
        <v>1</v>
      </c>
      <c r="G117" s="41">
        <f ca="1">IF(SAISIE!$I132="","",IF($E117="Binaire",SAISIE!$I132*100,IF($E117="Maturité",(SAISIE!$I132-1)*25,IF(OR(SAISIE!$J132="",SAISIE!$J132=0),"",MIN(100,SAISIE!$I132*$F117/SAISIE!$J132*100)))))</f>
      </c>
      <c r="H117" s="39">
        <f t="shared" ca="1" si="14"/>
      </c>
      <c r="I117" s="35">
        <f ca="1">IF(SAISIE!$K132="NA",1,"")</f>
      </c>
      <c r="J117" s="35">
        <f ca="1">IF(AND(SAISIE!$K132&lt;&gt;"",SAISIE!$K132&lt;&gt;"OK",SAISIE!$K132&lt;&gt;"NA"),1,"")</f>
      </c>
      <c r="AE117" s="29">
        <f ca="1">IF($H117=1,COUNTIF($H$4:$H117,1),"")</f>
      </c>
      <c r="AF117" s="29">
        <f ca="1">IF(AND($G117&lt;&gt;"",$G117&gt;0,$G117&lt;$AF$1),COUNTIFS($G$4:$G117,"&gt;0",$G$4:$G117,"&lt;"&amp;$AF$1),"")</f>
      </c>
    </row>
    <row r="118" spans="1:32" ht="15.75" x14ac:dyDescent="0.25">
      <c r="A118" s="38" t="str">
        <f>REFERENTIEL!E118</f>
        <v>SO-PRT-2.3</v>
      </c>
      <c r="B118" s="35" t="str">
        <f>REFERENTIEL!A118</f>
        <v>Social</v>
      </c>
      <c r="C118" s="35" t="str">
        <f>REFERENTIEL!B118</f>
        <v>Protection</v>
      </c>
      <c r="D118" s="35" t="str">
        <f>REFERENTIEL!C118</f>
        <v>SO-PRT-2</v>
      </c>
      <c r="E118" s="35" t="str">
        <f>REFERENTIEL!H118</f>
        <v>Binaire</v>
      </c>
      <c r="F118" s="35">
        <f>REFERENTIEL!J118</f>
        <v>1</v>
      </c>
      <c r="G118" s="41">
        <f ca="1">IF(SAISIE!$I133="","",IF($E118="Binaire",SAISIE!$I133*100,IF($E118="Maturité",(SAISIE!$I133-1)*25,IF(OR(SAISIE!$J133="",SAISIE!$J133=0),"",MIN(100,SAISIE!$I133*$F118/SAISIE!$J133*100)))))</f>
      </c>
      <c r="H118" s="39">
        <f t="shared" ca="1" si="14"/>
      </c>
      <c r="I118" s="35">
        <f ca="1">IF(SAISIE!$K133="NA",1,"")</f>
      </c>
      <c r="J118" s="35">
        <f ca="1">IF(AND(SAISIE!$K133&lt;&gt;"",SAISIE!$K133&lt;&gt;"OK",SAISIE!$K133&lt;&gt;"NA"),1,"")</f>
      </c>
      <c r="AE118" s="29">
        <f ca="1">IF($H118=1,COUNTIF($H$4:$H118,1),"")</f>
      </c>
      <c r="AF118" s="29">
        <f ca="1">IF(AND($G118&lt;&gt;"",$G118&gt;0,$G118&lt;$AF$1),COUNTIFS($G$4:$G118,"&gt;0",$G$4:$G118,"&lt;"&amp;$AF$1),"")</f>
      </c>
    </row>
    <row r="119" spans="1:32" ht="15.75" x14ac:dyDescent="0.25">
      <c r="A119" s="38" t="str">
        <f>REFERENTIEL!E119</f>
        <v>SO-PRT-2.4</v>
      </c>
      <c r="B119" s="35" t="str">
        <f>REFERENTIEL!A119</f>
        <v>Social</v>
      </c>
      <c r="C119" s="35" t="str">
        <f>REFERENTIEL!B119</f>
        <v>Protection</v>
      </c>
      <c r="D119" s="35" t="str">
        <f>REFERENTIEL!C119</f>
        <v>SO-PRT-2</v>
      </c>
      <c r="E119" s="35" t="str">
        <f>REFERENTIEL!H119</f>
        <v>Binaire</v>
      </c>
      <c r="F119" s="35">
        <f>REFERENTIEL!J119</f>
        <v>1</v>
      </c>
      <c r="G119" s="41">
        <f ca="1">IF(SAISIE!$I134="","",IF($E119="Binaire",SAISIE!$I134*100,IF($E119="Maturité",(SAISIE!$I134-1)*25,IF(OR(SAISIE!$J134="",SAISIE!$J134=0),"",MIN(100,SAISIE!$I134*$F119/SAISIE!$J134*100)))))</f>
      </c>
      <c r="H119" s="39">
        <f t="shared" ca="1" si="14"/>
      </c>
      <c r="I119" s="35">
        <f ca="1">IF(SAISIE!$K134="NA",1,"")</f>
      </c>
      <c r="J119" s="35">
        <f ca="1">IF(AND(SAISIE!$K134&lt;&gt;"",SAISIE!$K134&lt;&gt;"OK",SAISIE!$K134&lt;&gt;"NA"),1,"")</f>
      </c>
      <c r="AE119" s="29">
        <f ca="1">IF($H119=1,COUNTIF($H$4:$H119,1),"")</f>
      </c>
      <c r="AF119" s="29">
        <f ca="1">IF(AND($G119&lt;&gt;"",$G119&gt;0,$G119&lt;$AF$1),COUNTIFS($G$4:$G119,"&gt;0",$G$4:$G119,"&lt;"&amp;$AF$1),"")</f>
      </c>
    </row>
    <row r="120" spans="1:32" ht="15.75" x14ac:dyDescent="0.25">
      <c r="A120" s="38" t="str">
        <f>REFERENTIEL!E120</f>
        <v>SO-PRT-3.1</v>
      </c>
      <c r="B120" s="35" t="str">
        <f>REFERENTIEL!A120</f>
        <v>Social</v>
      </c>
      <c r="C120" s="35" t="str">
        <f>REFERENTIEL!B120</f>
        <v>Protection</v>
      </c>
      <c r="D120" s="35" t="str">
        <f>REFERENTIEL!C120</f>
        <v>SO-PRT-3</v>
      </c>
      <c r="E120" s="35" t="str">
        <f>REFERENTIEL!H120</f>
        <v>Binaire</v>
      </c>
      <c r="F120" s="35">
        <f>REFERENTIEL!J120</f>
        <v>1</v>
      </c>
      <c r="G120" s="41">
        <f ca="1">IF(SAISIE!$I135="","",IF($E120="Binaire",SAISIE!$I135*100,IF($E120="Maturité",(SAISIE!$I135-1)*25,IF(OR(SAISIE!$J135="",SAISIE!$J135=0),"",MIN(100,SAISIE!$I135*$F120/SAISIE!$J135*100)))))</f>
      </c>
      <c r="H120" s="39">
        <f t="shared" ca="1" si="14"/>
      </c>
      <c r="I120" s="35">
        <f ca="1">IF(SAISIE!$K135="NA",1,"")</f>
      </c>
      <c r="J120" s="35">
        <f ca="1">IF(AND(SAISIE!$K135&lt;&gt;"",SAISIE!$K135&lt;&gt;"OK",SAISIE!$K135&lt;&gt;"NA"),1,"")</f>
      </c>
      <c r="AE120" s="29">
        <f ca="1">IF($H120=1,COUNTIF($H$4:$H120,1),"")</f>
      </c>
      <c r="AF120" s="29">
        <f ca="1">IF(AND($G120&lt;&gt;"",$G120&gt;0,$G120&lt;$AF$1),COUNTIFS($G$4:$G120,"&gt;0",$G$4:$G120,"&lt;"&amp;$AF$1),"")</f>
      </c>
    </row>
    <row r="121" spans="1:32" ht="15.75" x14ac:dyDescent="0.25">
      <c r="A121" s="38" t="str">
        <f>REFERENTIEL!E121</f>
        <v>SO-PRT-3.2</v>
      </c>
      <c r="B121" s="35" t="str">
        <f>REFERENTIEL!A121</f>
        <v>Social</v>
      </c>
      <c r="C121" s="35" t="str">
        <f>REFERENTIEL!B121</f>
        <v>Protection</v>
      </c>
      <c r="D121" s="35" t="str">
        <f>REFERENTIEL!C121</f>
        <v>SO-PRT-3</v>
      </c>
      <c r="E121" s="35" t="str">
        <f>REFERENTIEL!H121</f>
        <v>Binaire</v>
      </c>
      <c r="F121" s="35">
        <f>REFERENTIEL!J121</f>
        <v>1</v>
      </c>
      <c r="G121" s="41">
        <f ca="1">IF(SAISIE!$I136="","",IF($E121="Binaire",SAISIE!$I136*100,IF($E121="Maturité",(SAISIE!$I136-1)*25,IF(OR(SAISIE!$J136="",SAISIE!$J136=0),"",MIN(100,SAISIE!$I136*$F121/SAISIE!$J136*100)))))</f>
      </c>
      <c r="H121" s="39">
        <f t="shared" ca="1" si="14"/>
      </c>
      <c r="I121" s="35">
        <f ca="1">IF(SAISIE!$K136="NA",1,"")</f>
      </c>
      <c r="J121" s="35">
        <f ca="1">IF(AND(SAISIE!$K136&lt;&gt;"",SAISIE!$K136&lt;&gt;"OK",SAISIE!$K136&lt;&gt;"NA"),1,"")</f>
      </c>
      <c r="AE121" s="29">
        <f ca="1">IF($H121=1,COUNTIF($H$4:$H121,1),"")</f>
      </c>
      <c r="AF121" s="29">
        <f ca="1">IF(AND($G121&lt;&gt;"",$G121&gt;0,$G121&lt;$AF$1),COUNTIFS($G$4:$G121,"&gt;0",$G$4:$G121,"&lt;"&amp;$AF$1),"")</f>
      </c>
    </row>
    <row r="122" spans="1:32" ht="15.75" x14ac:dyDescent="0.25">
      <c r="A122" s="38" t="str">
        <f>REFERENTIEL!E122</f>
        <v>SO-PRT-3.3</v>
      </c>
      <c r="B122" s="35" t="str">
        <f>REFERENTIEL!A122</f>
        <v>Social</v>
      </c>
      <c r="C122" s="35" t="str">
        <f>REFERENTIEL!B122</f>
        <v>Protection</v>
      </c>
      <c r="D122" s="35" t="str">
        <f>REFERENTIEL!C122</f>
        <v>SO-PRT-3</v>
      </c>
      <c r="E122" s="35" t="str">
        <f>REFERENTIEL!H122</f>
        <v>Binaire</v>
      </c>
      <c r="F122" s="35">
        <f>REFERENTIEL!J122</f>
        <v>1</v>
      </c>
      <c r="G122" s="41">
        <f ca="1">IF(SAISIE!$I137="","",IF($E122="Binaire",SAISIE!$I137*100,IF($E122="Maturité",(SAISIE!$I137-1)*25,IF(OR(SAISIE!$J137="",SAISIE!$J137=0),"",MIN(100,SAISIE!$I137*$F122/SAISIE!$J137*100)))))</f>
      </c>
      <c r="H122" s="39">
        <f t="shared" ca="1" si="14"/>
      </c>
      <c r="I122" s="35">
        <f ca="1">IF(SAISIE!$K137="NA",1,"")</f>
      </c>
      <c r="J122" s="35">
        <f ca="1">IF(AND(SAISIE!$K137&lt;&gt;"",SAISIE!$K137&lt;&gt;"OK",SAISIE!$K137&lt;&gt;"NA"),1,"")</f>
      </c>
      <c r="AE122" s="29">
        <f ca="1">IF($H122=1,COUNTIF($H$4:$H122,1),"")</f>
      </c>
      <c r="AF122" s="29">
        <f ca="1">IF(AND($G122&lt;&gt;"",$G122&gt;0,$G122&lt;$AF$1),COUNTIFS($G$4:$G122,"&gt;0",$G$4:$G122,"&lt;"&amp;$AF$1),"")</f>
      </c>
    </row>
    <row r="123" spans="1:32" ht="15.75" x14ac:dyDescent="0.25">
      <c r="A123" s="38" t="str">
        <f>REFERENTIEL!E123</f>
        <v>SO-PRT-3.4</v>
      </c>
      <c r="B123" s="35" t="str">
        <f>REFERENTIEL!A123</f>
        <v>Social</v>
      </c>
      <c r="C123" s="35" t="str">
        <f>REFERENTIEL!B123</f>
        <v>Protection</v>
      </c>
      <c r="D123" s="35" t="str">
        <f>REFERENTIEL!C123</f>
        <v>SO-PRT-3</v>
      </c>
      <c r="E123" s="35" t="str">
        <f>REFERENTIEL!H123</f>
        <v>Binaire</v>
      </c>
      <c r="F123" s="35">
        <f>REFERENTIEL!J123</f>
        <v>1</v>
      </c>
      <c r="G123" s="41">
        <f ca="1">IF(SAISIE!$I138="","",IF($E123="Binaire",SAISIE!$I138*100,IF($E123="Maturité",(SAISIE!$I138-1)*25,IF(OR(SAISIE!$J138="",SAISIE!$J138=0),"",MIN(100,SAISIE!$I138*$F123/SAISIE!$J138*100)))))</f>
      </c>
      <c r="H123" s="39">
        <f t="shared" ca="1" si="14"/>
      </c>
      <c r="I123" s="35">
        <f ca="1">IF(SAISIE!$K138="NA",1,"")</f>
      </c>
      <c r="J123" s="35">
        <f ca="1">IF(AND(SAISIE!$K138&lt;&gt;"",SAISIE!$K138&lt;&gt;"OK",SAISIE!$K138&lt;&gt;"NA"),1,"")</f>
      </c>
      <c r="AE123" s="29">
        <f ca="1">IF($H123=1,COUNTIF($H$4:$H123,1),"")</f>
      </c>
      <c r="AF123" s="29">
        <f ca="1">IF(AND($G123&lt;&gt;"",$G123&gt;0,$G123&lt;$AF$1),COUNTIFS($G$4:$G123,"&gt;0",$G$4:$G123,"&lt;"&amp;$AF$1),"")</f>
      </c>
    </row>
    <row r="124" spans="1:32" ht="15.75" x14ac:dyDescent="0.25">
      <c r="A124" s="38" t="str">
        <f>REFERENTIEL!E124</f>
        <v>SO-CNF-1.1</v>
      </c>
      <c r="B124" s="35" t="str">
        <f>REFERENTIEL!A124</f>
        <v>Social</v>
      </c>
      <c r="C124" s="38" t="str">
        <f>REFERENTIEL!B124</f>
        <v>Conformité</v>
      </c>
      <c r="D124" s="35" t="str">
        <f>REFERENTIEL!C124</f>
        <v>SO-CNF-1</v>
      </c>
      <c r="E124" s="35" t="str">
        <f>REFERENTIEL!H124</f>
        <v>Binaire</v>
      </c>
      <c r="F124" s="35">
        <f>REFERENTIEL!J124</f>
        <v>1</v>
      </c>
      <c r="G124" s="41">
        <f ca="1">IF(SAISIE!$I139="","",IF($E124="Binaire",SAISIE!$I139*100,IF($E124="Maturité",(SAISIE!$I139-1)*25,IF(OR(SAISIE!$J139="",SAISIE!$J139=0),"",MIN(100,SAISIE!$I139*$F124/SAISIE!$J139*100)))))</f>
      </c>
      <c r="H124" s="39">
        <f t="shared" ca="1" si="14"/>
      </c>
      <c r="I124" s="35">
        <f ca="1">IF(SAISIE!$K139="NA",1,"")</f>
      </c>
      <c r="J124" s="35">
        <f ca="1">IF(AND(SAISIE!$K139&lt;&gt;"",SAISIE!$K139&lt;&gt;"OK",SAISIE!$K139&lt;&gt;"NA"),1,"")</f>
      </c>
      <c r="AE124" s="29">
        <f ca="1">IF($H124=1,COUNTIF($H$4:$H124,1),"")</f>
      </c>
      <c r="AF124" s="29">
        <f ca="1">IF(AND($G124&lt;&gt;"",$G124&gt;0,$G124&lt;$AF$1),COUNTIFS($G$4:$G124,"&gt;0",$G$4:$G124,"&lt;"&amp;$AF$1),"")</f>
      </c>
    </row>
    <row r="125" spans="1:32" ht="15.75" x14ac:dyDescent="0.25">
      <c r="A125" s="38" t="str">
        <f>REFERENTIEL!E125</f>
        <v>SO-CNF-1.2</v>
      </c>
      <c r="B125" s="35" t="str">
        <f>REFERENTIEL!A125</f>
        <v>Social</v>
      </c>
      <c r="C125" s="35" t="str">
        <f>REFERENTIEL!B125</f>
        <v>Conformité</v>
      </c>
      <c r="D125" s="35" t="str">
        <f>REFERENTIEL!C125</f>
        <v>SO-CNF-1</v>
      </c>
      <c r="E125" s="35" t="str">
        <f>REFERENTIEL!H125</f>
        <v>Binaire</v>
      </c>
      <c r="F125" s="35">
        <f>REFERENTIEL!J125</f>
        <v>1</v>
      </c>
      <c r="G125" s="41">
        <f ca="1">IF(SAISIE!$I140="","",IF($E125="Binaire",SAISIE!$I140*100,IF($E125="Maturité",(SAISIE!$I140-1)*25,IF(OR(SAISIE!$J140="",SAISIE!$J140=0),"",MIN(100,SAISIE!$I140*$F125/SAISIE!$J140*100)))))</f>
      </c>
      <c r="H125" s="39">
        <f t="shared" ca="1" si="14"/>
      </c>
      <c r="I125" s="35">
        <f ca="1">IF(SAISIE!$K140="NA",1,"")</f>
      </c>
      <c r="J125" s="35">
        <f ca="1">IF(AND(SAISIE!$K140&lt;&gt;"",SAISIE!$K140&lt;&gt;"OK",SAISIE!$K140&lt;&gt;"NA"),1,"")</f>
      </c>
      <c r="AE125" s="29">
        <f ca="1">IF($H125=1,COUNTIF($H$4:$H125,1),"")</f>
      </c>
      <c r="AF125" s="29">
        <f ca="1">IF(AND($G125&lt;&gt;"",$G125&gt;0,$G125&lt;$AF$1),COUNTIFS($G$4:$G125,"&gt;0",$G$4:$G125,"&lt;"&amp;$AF$1),"")</f>
      </c>
    </row>
    <row r="126" spans="1:32" ht="15.75" x14ac:dyDescent="0.25">
      <c r="A126" s="38" t="str">
        <f>REFERENTIEL!E126</f>
        <v>SO-CNF-1.3</v>
      </c>
      <c r="B126" s="35" t="str">
        <f>REFERENTIEL!A126</f>
        <v>Social</v>
      </c>
      <c r="C126" s="35" t="str">
        <f>REFERENTIEL!B126</f>
        <v>Conformité</v>
      </c>
      <c r="D126" s="35" t="str">
        <f>REFERENTIEL!C126</f>
        <v>SO-CNF-1</v>
      </c>
      <c r="E126" s="35" t="str">
        <f>REFERENTIEL!H126</f>
        <v>Binaire</v>
      </c>
      <c r="F126" s="35">
        <f>REFERENTIEL!J126</f>
        <v>1</v>
      </c>
      <c r="G126" s="41">
        <f ca="1">IF(SAISIE!$I141="","",IF($E126="Binaire",SAISIE!$I141*100,IF($E126="Maturité",(SAISIE!$I141-1)*25,IF(OR(SAISIE!$J141="",SAISIE!$J141=0),"",MIN(100,SAISIE!$I141*$F126/SAISIE!$J141*100)))))</f>
      </c>
      <c r="H126" s="39">
        <f t="shared" ca="1" si="14"/>
      </c>
      <c r="I126" s="35">
        <f ca="1">IF(SAISIE!$K141="NA",1,"")</f>
      </c>
      <c r="J126" s="35">
        <f ca="1">IF(AND(SAISIE!$K141&lt;&gt;"",SAISIE!$K141&lt;&gt;"OK",SAISIE!$K141&lt;&gt;"NA"),1,"")</f>
      </c>
      <c r="AE126" s="29">
        <f ca="1">IF($H126=1,COUNTIF($H$4:$H126,1),"")</f>
      </c>
      <c r="AF126" s="29">
        <f ca="1">IF(AND($G126&lt;&gt;"",$G126&gt;0,$G126&lt;$AF$1),COUNTIFS($G$4:$G126,"&gt;0",$G$4:$G126,"&lt;"&amp;$AF$1),"")</f>
      </c>
    </row>
    <row r="127" spans="1:32" ht="15.75" x14ac:dyDescent="0.25">
      <c r="A127" s="38" t="str">
        <f>REFERENTIEL!E127</f>
        <v>SO-CNF-1.4</v>
      </c>
      <c r="B127" s="35" t="str">
        <f>REFERENTIEL!A127</f>
        <v>Social</v>
      </c>
      <c r="C127" s="35" t="str">
        <f>REFERENTIEL!B127</f>
        <v>Conformité</v>
      </c>
      <c r="D127" s="35" t="str">
        <f>REFERENTIEL!C127</f>
        <v>SO-CNF-1</v>
      </c>
      <c r="E127" s="35" t="str">
        <f>REFERENTIEL!H127</f>
        <v>Binaire</v>
      </c>
      <c r="F127" s="35">
        <f>REFERENTIEL!J127</f>
        <v>1</v>
      </c>
      <c r="G127" s="41">
        <f ca="1">IF(SAISIE!$I142="","",IF($E127="Binaire",SAISIE!$I142*100,IF($E127="Maturité",(SAISIE!$I142-1)*25,IF(OR(SAISIE!$J142="",SAISIE!$J142=0),"",MIN(100,SAISIE!$I142*$F127/SAISIE!$J142*100)))))</f>
      </c>
      <c r="H127" s="39">
        <f t="shared" ca="1" si="14"/>
      </c>
      <c r="I127" s="35">
        <f ca="1">IF(SAISIE!$K142="NA",1,"")</f>
      </c>
      <c r="J127" s="35">
        <f ca="1">IF(AND(SAISIE!$K142&lt;&gt;"",SAISIE!$K142&lt;&gt;"OK",SAISIE!$K142&lt;&gt;"NA"),1,"")</f>
      </c>
      <c r="AE127" s="29">
        <f ca="1">IF($H127=1,COUNTIF($H$4:$H127,1),"")</f>
      </c>
      <c r="AF127" s="29">
        <f ca="1">IF(AND($G127&lt;&gt;"",$G127&gt;0,$G127&lt;$AF$1),COUNTIFS($G$4:$G127,"&gt;0",$G$4:$G127,"&lt;"&amp;$AF$1),"")</f>
      </c>
    </row>
    <row r="128" spans="1:32" ht="15.75" x14ac:dyDescent="0.25">
      <c r="A128" s="38" t="str">
        <f>REFERENTIEL!E128</f>
        <v>SO-CNF-2.1</v>
      </c>
      <c r="B128" s="35" t="str">
        <f>REFERENTIEL!A128</f>
        <v>Social</v>
      </c>
      <c r="C128" s="35" t="str">
        <f>REFERENTIEL!B128</f>
        <v>Conformité</v>
      </c>
      <c r="D128" s="35" t="str">
        <f>REFERENTIEL!C128</f>
        <v>SO-CNF-2</v>
      </c>
      <c r="E128" s="35" t="str">
        <f>REFERENTIEL!H128</f>
        <v>Binaire</v>
      </c>
      <c r="F128" s="35">
        <f>REFERENTIEL!J128</f>
        <v>1</v>
      </c>
      <c r="G128" s="41">
        <f ca="1">IF(SAISIE!$I143="","",IF($E128="Binaire",SAISIE!$I143*100,IF($E128="Maturité",(SAISIE!$I143-1)*25,IF(OR(SAISIE!$J143="",SAISIE!$J143=0),"",MIN(100,SAISIE!$I143*$F128/SAISIE!$J143*100)))))</f>
      </c>
      <c r="H128" s="39">
        <f t="shared" ca="1" si="14"/>
      </c>
      <c r="I128" s="35">
        <f ca="1">IF(SAISIE!$K143="NA",1,"")</f>
      </c>
      <c r="J128" s="35">
        <f ca="1">IF(AND(SAISIE!$K143&lt;&gt;"",SAISIE!$K143&lt;&gt;"OK",SAISIE!$K143&lt;&gt;"NA"),1,"")</f>
      </c>
      <c r="AE128" s="29">
        <f ca="1">IF($H128=1,COUNTIF($H$4:$H128,1),"")</f>
      </c>
      <c r="AF128" s="29">
        <f ca="1">IF(AND($G128&lt;&gt;"",$G128&gt;0,$G128&lt;$AF$1),COUNTIFS($G$4:$G128,"&gt;0",$G$4:$G128,"&lt;"&amp;$AF$1),"")</f>
      </c>
    </row>
    <row r="129" spans="1:32" ht="15.75" x14ac:dyDescent="0.25">
      <c r="A129" s="38" t="str">
        <f>REFERENTIEL!E129</f>
        <v>SO-CNF-2.2</v>
      </c>
      <c r="B129" s="35" t="str">
        <f>REFERENTIEL!A129</f>
        <v>Social</v>
      </c>
      <c r="C129" s="35" t="str">
        <f>REFERENTIEL!B129</f>
        <v>Conformité</v>
      </c>
      <c r="D129" s="35" t="str">
        <f>REFERENTIEL!C129</f>
        <v>SO-CNF-2</v>
      </c>
      <c r="E129" s="35" t="str">
        <f>REFERENTIEL!H129</f>
        <v>Binaire</v>
      </c>
      <c r="F129" s="35">
        <f>REFERENTIEL!J129</f>
        <v>1</v>
      </c>
      <c r="G129" s="41">
        <f ca="1">IF(SAISIE!$I144="","",IF($E129="Binaire",SAISIE!$I144*100,IF($E129="Maturité",(SAISIE!$I144-1)*25,IF(OR(SAISIE!$J144="",SAISIE!$J144=0),"",MIN(100,SAISIE!$I144*$F129/SAISIE!$J144*100)))))</f>
      </c>
      <c r="H129" s="39">
        <f t="shared" ca="1" si="14"/>
      </c>
      <c r="I129" s="35">
        <f ca="1">IF(SAISIE!$K144="NA",1,"")</f>
      </c>
      <c r="J129" s="35">
        <f ca="1">IF(AND(SAISIE!$K144&lt;&gt;"",SAISIE!$K144&lt;&gt;"OK",SAISIE!$K144&lt;&gt;"NA"),1,"")</f>
      </c>
      <c r="AE129" s="29">
        <f ca="1">IF($H129=1,COUNTIF($H$4:$H129,1),"")</f>
      </c>
      <c r="AF129" s="29">
        <f ca="1">IF(AND($G129&lt;&gt;"",$G129&gt;0,$G129&lt;$AF$1),COUNTIFS($G$4:$G129,"&gt;0",$G$4:$G129,"&lt;"&amp;$AF$1),"")</f>
      </c>
    </row>
    <row r="130" spans="1:32" ht="15.75" x14ac:dyDescent="0.25">
      <c r="A130" s="38" t="str">
        <f>REFERENTIEL!E130</f>
        <v>SO-CNF-2.3</v>
      </c>
      <c r="B130" s="35" t="str">
        <f>REFERENTIEL!A130</f>
        <v>Social</v>
      </c>
      <c r="C130" s="35" t="str">
        <f>REFERENTIEL!B130</f>
        <v>Conformité</v>
      </c>
      <c r="D130" s="35" t="str">
        <f>REFERENTIEL!C130</f>
        <v>SO-CNF-2</v>
      </c>
      <c r="E130" s="35" t="str">
        <f>REFERENTIEL!H130</f>
        <v>Taux</v>
      </c>
      <c r="F130" s="35">
        <f>REFERENTIEL!J130</f>
        <v>1</v>
      </c>
      <c r="G130" s="41">
        <f ca="1">IF(SAISIE!$I145="","",IF($E130="Binaire",SAISIE!$I145*100,IF($E130="Maturité",(SAISIE!$I145-1)*25,IF(OR(SAISIE!$J145="",SAISIE!$J145=0),"",MIN(100,SAISIE!$I145*$F130/SAISIE!$J145*100)))))</f>
      </c>
      <c r="H130" s="39">
        <f t="shared" ca="1" si="14"/>
      </c>
      <c r="I130" s="35">
        <f ca="1">IF(SAISIE!$K145="NA",1,"")</f>
      </c>
      <c r="J130" s="35">
        <f ca="1">IF(AND(SAISIE!$K145&lt;&gt;"",SAISIE!$K145&lt;&gt;"OK",SAISIE!$K145&lt;&gt;"NA"),1,"")</f>
      </c>
      <c r="AE130" s="29">
        <f ca="1">IF($H130=1,COUNTIF($H$4:$H130,1),"")</f>
      </c>
      <c r="AF130" s="29">
        <f ca="1">IF(AND($G130&lt;&gt;"",$G130&gt;0,$G130&lt;$AF$1),COUNTIFS($G$4:$G130,"&gt;0",$G$4:$G130,"&lt;"&amp;$AF$1),"")</f>
      </c>
    </row>
    <row r="131" spans="1:32" ht="15.75" x14ac:dyDescent="0.25">
      <c r="A131" s="38" t="str">
        <f>REFERENTIEL!E131</f>
        <v>SO-CNF-3.1</v>
      </c>
      <c r="B131" s="35" t="str">
        <f>REFERENTIEL!A131</f>
        <v>Social</v>
      </c>
      <c r="C131" s="35" t="str">
        <f>REFERENTIEL!B131</f>
        <v>Conformité</v>
      </c>
      <c r="D131" s="35" t="str">
        <f>REFERENTIEL!C131</f>
        <v>SO-CNF-3</v>
      </c>
      <c r="E131" s="35" t="str">
        <f>REFERENTIEL!H131</f>
        <v>Binaire</v>
      </c>
      <c r="F131" s="35">
        <f>REFERENTIEL!J131</f>
        <v>1</v>
      </c>
      <c r="G131" s="41">
        <f ca="1">IF(SAISIE!$I146="","",IF($E131="Binaire",SAISIE!$I146*100,IF($E131="Maturité",(SAISIE!$I146-1)*25,IF(OR(SAISIE!$J146="",SAISIE!$J146=0),"",MIN(100,SAISIE!$I146*$F131/SAISIE!$J146*100)))))</f>
      </c>
      <c r="H131" s="39">
        <f t="shared" ca="1" si="14"/>
      </c>
      <c r="I131" s="35">
        <f ca="1">IF(SAISIE!$K146="NA",1,"")</f>
      </c>
      <c r="J131" s="35">
        <f ca="1">IF(AND(SAISIE!$K146&lt;&gt;"",SAISIE!$K146&lt;&gt;"OK",SAISIE!$K146&lt;&gt;"NA"),1,"")</f>
      </c>
      <c r="AE131" s="29">
        <f ca="1">IF($H131=1,COUNTIF($H$4:$H131,1),"")</f>
      </c>
      <c r="AF131" s="29">
        <f ca="1">IF(AND($G131&lt;&gt;"",$G131&gt;0,$G131&lt;$AF$1),COUNTIFS($G$4:$G131,"&gt;0",$G$4:$G131,"&lt;"&amp;$AF$1),"")</f>
      </c>
    </row>
    <row r="132" spans="1:32" ht="15.75" x14ac:dyDescent="0.25">
      <c r="A132" s="38" t="str">
        <f>REFERENTIEL!E132</f>
        <v>SO-CNF-3.2</v>
      </c>
      <c r="B132" s="35" t="str">
        <f>REFERENTIEL!A132</f>
        <v>Social</v>
      </c>
      <c r="C132" s="35" t="str">
        <f>REFERENTIEL!B132</f>
        <v>Conformité</v>
      </c>
      <c r="D132" s="35" t="str">
        <f>REFERENTIEL!C132</f>
        <v>SO-CNF-3</v>
      </c>
      <c r="E132" s="35" t="str">
        <f>REFERENTIEL!H132</f>
        <v>Binaire</v>
      </c>
      <c r="F132" s="35">
        <f>REFERENTIEL!J132</f>
        <v>1</v>
      </c>
      <c r="G132" s="41">
        <f ca="1">IF(SAISIE!$I147="","",IF($E132="Binaire",SAISIE!$I147*100,IF($E132="Maturité",(SAISIE!$I147-1)*25,IF(OR(SAISIE!$J147="",SAISIE!$J147=0),"",MIN(100,SAISIE!$I147*$F132/SAISIE!$J147*100)))))</f>
      </c>
      <c r="H132" s="39">
        <f t="shared" ca="1" si="14"/>
      </c>
      <c r="I132" s="35">
        <f ca="1">IF(SAISIE!$K147="NA",1,"")</f>
      </c>
      <c r="J132" s="35">
        <f ca="1">IF(AND(SAISIE!$K147&lt;&gt;"",SAISIE!$K147&lt;&gt;"OK",SAISIE!$K147&lt;&gt;"NA"),1,"")</f>
      </c>
      <c r="AE132" s="29">
        <f ca="1">IF($H132=1,COUNTIF($H$4:$H132,1),"")</f>
      </c>
      <c r="AF132" s="29">
        <f ca="1">IF(AND($G132&lt;&gt;"",$G132&gt;0,$G132&lt;$AF$1),COUNTIFS($G$4:$G132,"&gt;0",$G$4:$G132,"&lt;"&amp;$AF$1),"")</f>
      </c>
    </row>
    <row r="133" spans="1:32" ht="15.75" x14ac:dyDescent="0.25">
      <c r="A133" s="38" t="str">
        <f>REFERENTIEL!E133</f>
        <v>SO-CNF-3.3</v>
      </c>
      <c r="B133" s="35" t="str">
        <f>REFERENTIEL!A133</f>
        <v>Social</v>
      </c>
      <c r="C133" s="35" t="str">
        <f>REFERENTIEL!B133</f>
        <v>Conformité</v>
      </c>
      <c r="D133" s="35" t="str">
        <f>REFERENTIEL!C133</f>
        <v>SO-CNF-3</v>
      </c>
      <c r="E133" s="35" t="str">
        <f>REFERENTIEL!H133</f>
        <v>Binaire</v>
      </c>
      <c r="F133" s="35">
        <f>REFERENTIEL!J133</f>
        <v>1</v>
      </c>
      <c r="G133" s="41">
        <f ca="1">IF(SAISIE!$I148="","",IF($E133="Binaire",SAISIE!$I148*100,IF($E133="Maturité",(SAISIE!$I148-1)*25,IF(OR(SAISIE!$J148="",SAISIE!$J148=0),"",MIN(100,SAISIE!$I148*$F133/SAISIE!$J148*100)))))</f>
      </c>
      <c r="H133" s="39">
        <f t="shared" ref="H133:H134" ca="1" si="15">IF(AND($G133&lt;&gt;"",$G133=0),1,"")</f>
      </c>
      <c r="I133" s="35">
        <f ca="1">IF(SAISIE!$K148="NA",1,"")</f>
      </c>
      <c r="J133" s="35">
        <f ca="1">IF(AND(SAISIE!$K148&lt;&gt;"",SAISIE!$K148&lt;&gt;"OK",SAISIE!$K148&lt;&gt;"NA"),1,"")</f>
      </c>
      <c r="AE133" s="29">
        <f ca="1">IF($H133=1,COUNTIF($H$4:$H133,1),"")</f>
      </c>
      <c r="AF133" s="29">
        <f ca="1">IF(AND($G133&lt;&gt;"",$G133&gt;0,$G133&lt;$AF$1),COUNTIFS($G$4:$G133,"&gt;0",$G$4:$G133,"&lt;"&amp;$AF$1),"")</f>
      </c>
    </row>
    <row r="134" spans="1:32" ht="15.75" x14ac:dyDescent="0.25">
      <c r="A134" s="38" t="str">
        <f>REFERENTIEL!E134</f>
        <v>SO-CNF-3.4</v>
      </c>
      <c r="B134" s="35" t="str">
        <f>REFERENTIEL!A134</f>
        <v>Social</v>
      </c>
      <c r="C134" s="35" t="str">
        <f>REFERENTIEL!B134</f>
        <v>Conformité</v>
      </c>
      <c r="D134" s="35" t="str">
        <f>REFERENTIEL!C134</f>
        <v>SO-CNF-3</v>
      </c>
      <c r="E134" s="35" t="str">
        <f>REFERENTIEL!H134</f>
        <v>Binaire</v>
      </c>
      <c r="F134" s="35">
        <f>REFERENTIEL!J134</f>
        <v>1</v>
      </c>
      <c r="G134" s="41">
        <f ca="1">IF(SAISIE!$I149="","",IF($E134="Binaire",SAISIE!$I149*100,IF($E134="Maturité",(SAISIE!$I149-1)*25,IF(OR(SAISIE!$J149="",SAISIE!$J149=0),"",MIN(100,SAISIE!$I149*$F134/SAISIE!$J149*100)))))</f>
      </c>
      <c r="H134" s="39">
        <f t="shared" ca="1" si="15"/>
      </c>
      <c r="I134" s="35">
        <f ca="1">IF(SAISIE!$K149="NA",1,"")</f>
      </c>
      <c r="J134" s="35">
        <f ca="1">IF(AND(SAISIE!$K149&lt;&gt;"",SAISIE!$K149&lt;&gt;"OK",SAISIE!$K149&lt;&gt;"NA"),1,"")</f>
      </c>
      <c r="AE134" s="29">
        <f ca="1">IF($H134=1,COUNTIF($H$4:$H134,1),"")</f>
      </c>
      <c r="AF134" s="29">
        <f ca="1">IF(AND($G134&lt;&gt;"",$G134&gt;0,$G134&lt;$AF$1),COUNTIFS($G$4:$G134,"&gt;0",$G$4:$G134,"&lt;"&amp;$AF$1),"")</f>
      </c>
    </row>
  </sheetData>
  <sheetProtection algorithmName="SHA-512" hashValue="XBK8iNfMSvUUfe4Sp/vykzulUgXSOgDfB3byj07fXQB/WXx94ncGLTMlzB51jqtBoWr5DNflHn2JfmcRpTCtYQ==" saltValue="X2BmSkYmt9Kmq4bz/QUcuQ==" spinCount="100000" sheet="1" objects="1" scenarios="1"/>
  <mergeCells count="1">
    <mergeCell ref="A1:AC1"/>
  </mergeCells>
  <conditionalFormatting sqref="B4:C134">
    <cfRule type="expression" dxfId="11" priority="2">
      <formula>AND($B4=$B3,B4=B3)</formula>
    </cfRule>
  </conditionalFormatting>
  <conditionalFormatting sqref="M4:N36">
    <cfRule type="expression" dxfId="10" priority="1">
      <formula>AND($M4=$M3,M4=M3)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D3C2-BC86-46EB-A416-208720A73AF8}">
  <dimension ref="A1:G133"/>
  <sheetViews>
    <sheetView topLeftCell="A3" workbookViewId="0">
      <selection activeCell="B23" sqref="B23"/>
    </sheetView>
  </sheetViews>
  <sheetFormatPr baseColWidth="10" defaultRowHeight="15" x14ac:dyDescent="0.25"/>
  <cols>
    <col min="1" max="1" width="34.28515625" bestFit="1" customWidth="1"/>
    <col min="2" max="2" width="60.7109375" bestFit="1" customWidth="1"/>
    <col min="4" max="4" width="15.42578125" bestFit="1" customWidth="1"/>
    <col min="6" max="6" width="17.28515625" bestFit="1" customWidth="1"/>
  </cols>
  <sheetData>
    <row r="1" spans="1:6" ht="20.25" x14ac:dyDescent="0.3">
      <c r="A1" s="66" t="s">
        <v>803</v>
      </c>
      <c r="B1" s="66"/>
      <c r="C1" s="66"/>
      <c r="D1" s="66"/>
      <c r="E1" s="66"/>
      <c r="F1" s="66"/>
    </row>
    <row r="3" spans="1:6" ht="15.75" x14ac:dyDescent="0.25">
      <c r="A3" s="67" t="s">
        <v>540</v>
      </c>
      <c r="B3" s="68"/>
    </row>
    <row r="4" spans="1:6" ht="15.75" x14ac:dyDescent="0.25">
      <c r="A4" s="128" t="s">
        <v>541</v>
      </c>
      <c r="B4" s="37" t="str">
        <f>SAISIE!B4</f>
        <v>MAAC</v>
      </c>
    </row>
    <row r="5" spans="1:6" ht="15.75" x14ac:dyDescent="0.25">
      <c r="A5" s="128" t="s">
        <v>474</v>
      </c>
      <c r="B5" s="123">
        <f>SAISIE!B5</f>
        <v>46283</v>
      </c>
    </row>
    <row r="6" spans="1:6" ht="15.75" x14ac:dyDescent="0.25">
      <c r="A6" s="128" t="s">
        <v>542</v>
      </c>
      <c r="B6" s="37">
        <f ca="1">SAISIE!B6</f>
      </c>
    </row>
    <row r="7" spans="1:6" ht="15.75" x14ac:dyDescent="0.25">
      <c r="A7" s="128" t="s">
        <v>476</v>
      </c>
      <c r="B7" s="37">
        <f ca="1">SAISIE!B7</f>
      </c>
    </row>
    <row r="8" spans="1:6" ht="15.75" x14ac:dyDescent="0.25">
      <c r="A8" s="128" t="s">
        <v>543</v>
      </c>
      <c r="B8" s="37">
        <f ca="1">SAISIE!B8</f>
      </c>
    </row>
    <row r="9" spans="1:6" ht="15.75" x14ac:dyDescent="0.25">
      <c r="A9" s="128" t="s">
        <v>796</v>
      </c>
      <c r="B9" s="37">
        <f ca="1">SAISIE!B11</f>
      </c>
    </row>
    <row r="10" spans="1:6" ht="15.75" x14ac:dyDescent="0.25">
      <c r="A10" s="128" t="s">
        <v>479</v>
      </c>
      <c r="B10" s="37">
        <f ca="1">SAISIE!B12</f>
      </c>
    </row>
    <row r="11" spans="1:6" ht="15.75" x14ac:dyDescent="0.25">
      <c r="A11" s="128" t="s">
        <v>544</v>
      </c>
      <c r="B11" s="37">
        <f ca="1">SAISIE!B16</f>
      </c>
    </row>
    <row r="12" spans="1:6" ht="15.75" x14ac:dyDescent="0.25">
      <c r="A12" s="128" t="s">
        <v>545</v>
      </c>
      <c r="B12" s="37">
        <f ca="1">SAISIE!B13</f>
      </c>
    </row>
    <row r="13" spans="1:6" ht="15.75" x14ac:dyDescent="0.25">
      <c r="A13" s="40"/>
      <c r="B13" s="40"/>
    </row>
    <row r="14" spans="1:6" ht="15.75" x14ac:dyDescent="0.25">
      <c r="A14" s="124" t="s">
        <v>546</v>
      </c>
      <c r="B14" s="125"/>
    </row>
    <row r="15" spans="1:6" ht="15.75" x14ac:dyDescent="0.25">
      <c r="A15" s="128" t="s">
        <v>547</v>
      </c>
      <c r="B15" s="126">
        <f ca="1">SAISIE!E4</f>
        <v>0</v>
      </c>
    </row>
    <row r="16" spans="1:6" ht="15.75" x14ac:dyDescent="0.25">
      <c r="A16" s="128" t="s">
        <v>548</v>
      </c>
      <c r="B16" s="126">
        <f ca="1">SAISIE!E5</f>
        <v>0</v>
      </c>
    </row>
    <row r="17" spans="1:6" ht="15.75" x14ac:dyDescent="0.25">
      <c r="A17" s="128" t="s">
        <v>513</v>
      </c>
      <c r="B17" s="126">
        <f ca="1">SAISIE!E6</f>
        <v>0</v>
      </c>
    </row>
    <row r="18" spans="1:6" ht="15.75" x14ac:dyDescent="0.25">
      <c r="A18" s="128" t="s">
        <v>514</v>
      </c>
      <c r="B18" s="126">
        <f ca="1">SAISIE!E7</f>
      </c>
    </row>
    <row r="19" spans="1:6" ht="15.75" x14ac:dyDescent="0.25">
      <c r="A19" s="128" t="s">
        <v>549</v>
      </c>
      <c r="B19" s="126">
        <f ca="1">IF(SAISIE!$B$17=0,"Aucune visite sélectionnée",IF(B17+B18=0,"Saisie complete","Saisie incomplete : "&amp;(B17+B18)&amp;" Ligne(s) à corriger dans SAISIE; colonne K"))</f>
      </c>
    </row>
    <row r="20" spans="1:6" ht="15.75" x14ac:dyDescent="0.25">
      <c r="A20" s="40"/>
      <c r="B20" s="40"/>
    </row>
    <row r="21" spans="1:6" ht="15.75" x14ac:dyDescent="0.25">
      <c r="A21" s="124" t="s">
        <v>550</v>
      </c>
      <c r="B21" s="125"/>
    </row>
    <row r="22" spans="1:6" ht="15.75" x14ac:dyDescent="0.25">
      <c r="A22" s="128" t="s">
        <v>551</v>
      </c>
      <c r="B22" s="127">
        <f ca="1">CALCUL!AB9</f>
      </c>
    </row>
    <row r="23" spans="1:6" ht="15.75" x14ac:dyDescent="0.25">
      <c r="A23" s="128" t="s">
        <v>7</v>
      </c>
      <c r="B23" s="127">
        <f ca="1">CALCUL!AB4</f>
      </c>
    </row>
    <row r="24" spans="1:6" ht="15.75" x14ac:dyDescent="0.25">
      <c r="A24" s="128" t="s">
        <v>120</v>
      </c>
      <c r="B24" s="127">
        <f ca="1">CALCUL!AB5</f>
      </c>
    </row>
    <row r="25" spans="1:6" ht="15.75" x14ac:dyDescent="0.25">
      <c r="A25" s="128" t="s">
        <v>246</v>
      </c>
      <c r="B25" s="127">
        <f ca="1">CALCUL!AB6</f>
      </c>
    </row>
    <row r="26" spans="1:6" ht="15.75" x14ac:dyDescent="0.25">
      <c r="A26" s="128" t="s">
        <v>358</v>
      </c>
      <c r="B26" s="127">
        <f ca="1">CALCUL!AB7</f>
      </c>
    </row>
    <row r="27" spans="1:6" ht="63" x14ac:dyDescent="0.25">
      <c r="A27" s="48" t="s">
        <v>552</v>
      </c>
      <c r="B27" s="4"/>
    </row>
    <row r="29" spans="1:6" ht="15.75" x14ac:dyDescent="0.25">
      <c r="A29" s="67" t="s">
        <v>553</v>
      </c>
      <c r="B29" s="69"/>
      <c r="C29" s="69"/>
      <c r="D29" s="69"/>
      <c r="E29" s="69"/>
      <c r="F29" s="68"/>
    </row>
    <row r="30" spans="1:6" ht="15.75" x14ac:dyDescent="0.25">
      <c r="A30" s="26" t="s">
        <v>518</v>
      </c>
      <c r="B30" s="37" t="s">
        <v>530</v>
      </c>
      <c r="C30" s="37" t="s">
        <v>531</v>
      </c>
      <c r="D30" s="37" t="s">
        <v>548</v>
      </c>
      <c r="E30" s="37" t="s">
        <v>532</v>
      </c>
      <c r="F30" s="37" t="s">
        <v>534</v>
      </c>
    </row>
    <row r="31" spans="1:6" ht="15.75" x14ac:dyDescent="0.25">
      <c r="A31" s="49" t="str">
        <f>CALCUL!W4</f>
        <v>Santé</v>
      </c>
      <c r="B31" s="42" t="str">
        <f ca="1">CALCUL!X4</f>
        <v/>
      </c>
      <c r="C31" s="36" t="str">
        <f ca="1">CALCUL!Y4</f>
        <v/>
      </c>
      <c r="D31" s="36">
        <f ca="1">CALCUL!Z4</f>
      </c>
      <c r="E31" s="51">
        <f ca="1">CALCUL!AA4</f>
      </c>
      <c r="F31" s="36">
        <f ca="1">CALCUL!AC4</f>
      </c>
    </row>
    <row r="32" spans="1:6" ht="15.75" x14ac:dyDescent="0.25">
      <c r="A32" s="49" t="str">
        <f>CALCUL!W5</f>
        <v>Sécurité</v>
      </c>
      <c r="B32" s="42" t="str">
        <f ca="1">CALCUL!X5</f>
        <v/>
      </c>
      <c r="C32" s="36" t="str">
        <f ca="1">CALCUL!Y5</f>
        <v/>
      </c>
      <c r="D32" s="36">
        <f ca="1">CALCUL!Z5</f>
      </c>
      <c r="E32" s="51">
        <f ca="1">CALCUL!AA5</f>
      </c>
      <c r="F32" s="36">
        <f ca="1">CALCUL!AC5</f>
      </c>
    </row>
    <row r="33" spans="1:7" ht="15.75" x14ac:dyDescent="0.25">
      <c r="A33" s="49" t="str">
        <f>CALCUL!W6</f>
        <v>Environnement</v>
      </c>
      <c r="B33" s="42" t="str">
        <f ca="1">CALCUL!X6</f>
        <v/>
      </c>
      <c r="C33" s="36" t="str">
        <f ca="1">CALCUL!Y6</f>
        <v/>
      </c>
      <c r="D33" s="36">
        <f ca="1">CALCUL!Z6</f>
      </c>
      <c r="E33" s="51">
        <f ca="1">CALCUL!AA6</f>
      </c>
      <c r="F33" s="36">
        <f ca="1">CALCUL!AC6</f>
      </c>
    </row>
    <row r="34" spans="1:7" ht="15.75" x14ac:dyDescent="0.25">
      <c r="A34" s="49" t="str">
        <f>CALCUL!W7</f>
        <v>Social</v>
      </c>
      <c r="B34" s="42" t="str">
        <f ca="1">CALCUL!X7</f>
        <v/>
      </c>
      <c r="C34" s="36" t="str">
        <f ca="1">CALCUL!Y7</f>
        <v/>
      </c>
      <c r="D34" s="36">
        <f ca="1">CALCUL!Z7</f>
      </c>
      <c r="E34" s="51">
        <f ca="1">CALCUL!AA7</f>
      </c>
      <c r="F34" s="36">
        <f ca="1">CALCUL!AC7</f>
      </c>
    </row>
    <row r="35" spans="1:7" ht="78.75" x14ac:dyDescent="0.25">
      <c r="A35" s="50" t="s">
        <v>554</v>
      </c>
      <c r="B35" s="40"/>
      <c r="C35" s="40"/>
      <c r="D35" s="40"/>
      <c r="E35" s="40"/>
      <c r="F35" s="40"/>
    </row>
    <row r="37" spans="1:7" ht="15.75" x14ac:dyDescent="0.25">
      <c r="A37" s="64" t="s">
        <v>555</v>
      </c>
      <c r="B37" s="64"/>
      <c r="C37" s="64"/>
      <c r="D37" s="64"/>
      <c r="E37" s="64"/>
    </row>
    <row r="38" spans="1:7" ht="15.75" x14ac:dyDescent="0.25">
      <c r="A38" s="37" t="s">
        <v>518</v>
      </c>
      <c r="B38" s="37" t="s">
        <v>8</v>
      </c>
      <c r="C38" s="37" t="s">
        <v>50</v>
      </c>
      <c r="D38" s="37" t="s">
        <v>79</v>
      </c>
      <c r="E38" s="37" t="s">
        <v>530</v>
      </c>
    </row>
    <row r="39" spans="1:7" ht="15.75" x14ac:dyDescent="0.25">
      <c r="A39" s="36" t="str">
        <f>CALCUL!W4</f>
        <v>Santé</v>
      </c>
      <c r="B39" s="42" t="str">
        <f ca="1">IFERROR(AVERAGEIFS(CALCUL!$T$4:$T$15,CALCUL!$R$4:$R$15,$A39,CALCUL!$S$4:$S$15,B$38),"")</f>
        <v/>
      </c>
      <c r="C39" s="42" t="str">
        <f ca="1">IFERROR(AVERAGEIFS(CALCUL!$T$4:$T$15,CALCUL!$R$4:$R$15,$A39,CALCUL!$S$4:$S$15,C$38),"")</f>
        <v/>
      </c>
      <c r="D39" s="42" t="str">
        <f ca="1">IFERROR(AVERAGEIFS(CALCUL!$T$4:$T$15,CALCUL!$R$4:$R$15,$A39,CALCUL!$S$4:$S$15,D$38),"")</f>
        <v/>
      </c>
      <c r="E39" s="42" t="str">
        <f ca="1">CALCUL!X4</f>
        <v/>
      </c>
    </row>
    <row r="40" spans="1:7" ht="15.75" x14ac:dyDescent="0.25">
      <c r="A40" s="36" t="str">
        <f>CALCUL!W5</f>
        <v>Sécurité</v>
      </c>
      <c r="B40" s="42" t="str">
        <f ca="1">IFERROR(AVERAGEIFS(CALCUL!$T$4:$T$15,CALCUL!$R$4:$R$15,$A40,CALCUL!$S$4:$S$15,B$38),"")</f>
        <v/>
      </c>
      <c r="C40" s="42" t="str">
        <f ca="1">IFERROR(AVERAGEIFS(CALCUL!$T$4:$T$15,CALCUL!$R$4:$R$15,$A40,CALCUL!$S$4:$S$15,C$38),"")</f>
        <v/>
      </c>
      <c r="D40" s="42" t="str">
        <f ca="1">IFERROR(AVERAGEIFS(CALCUL!$T$4:$T$15,CALCUL!$R$4:$R$15,$A40,CALCUL!$S$4:$S$15,D$38),"")</f>
        <v/>
      </c>
      <c r="E40" s="42" t="str">
        <f ca="1">CALCUL!X5</f>
        <v/>
      </c>
      <c r="G40">
        <f ca="1">ISNUMBER(B39)*(1-(B39&lt;80))</f>
        <v>0</v>
      </c>
    </row>
    <row r="41" spans="1:7" ht="15.75" x14ac:dyDescent="0.25">
      <c r="A41" s="36" t="str">
        <f>CALCUL!W6</f>
        <v>Environnement</v>
      </c>
      <c r="B41" s="42" t="str">
        <f ca="1">IFERROR(AVERAGEIFS(CALCUL!$T$4:$T$15,CALCUL!$R$4:$R$15,$A41,CALCUL!$S$4:$S$15,B$38),"")</f>
        <v/>
      </c>
      <c r="C41" s="42" t="str">
        <f ca="1">IFERROR(AVERAGEIFS(CALCUL!$T$4:$T$15,CALCUL!$R$4:$R$15,$A41,CALCUL!$S$4:$S$15,C$38),"")</f>
        <v/>
      </c>
      <c r="D41" s="42" t="str">
        <f ca="1">IFERROR(AVERAGEIFS(CALCUL!$T$4:$T$15,CALCUL!$R$4:$R$15,$A41,CALCUL!$S$4:$S$15,D$38),"")</f>
        <v/>
      </c>
      <c r="E41" s="42" t="str">
        <f ca="1">CALCUL!X6</f>
        <v/>
      </c>
    </row>
    <row r="42" spans="1:7" ht="15.75" x14ac:dyDescent="0.25">
      <c r="A42" s="36" t="str">
        <f>CALCUL!W7</f>
        <v>Social</v>
      </c>
      <c r="B42" s="42" t="str">
        <f ca="1">IFERROR(AVERAGEIFS(CALCUL!$T$4:$T$15,CALCUL!$R$4:$R$15,$A42,CALCUL!$S$4:$S$15,B$38),"")</f>
        <v/>
      </c>
      <c r="C42" s="42" t="str">
        <f ca="1">IFERROR(AVERAGEIFS(CALCUL!$T$4:$T$15,CALCUL!$R$4:$R$15,$A42,CALCUL!$S$4:$S$15,C$38),"")</f>
        <v/>
      </c>
      <c r="D42" s="42" t="str">
        <f ca="1">IFERROR(AVERAGEIFS(CALCUL!$T$4:$T$15,CALCUL!$R$4:$R$15,$A42,CALCUL!$S$4:$S$15,D$38),"")</f>
        <v/>
      </c>
      <c r="E42" s="42" t="str">
        <f ca="1">CALCUL!X7</f>
        <v/>
      </c>
    </row>
    <row r="44" spans="1:7" ht="15.75" x14ac:dyDescent="0.25">
      <c r="A44" s="65" t="s">
        <v>556</v>
      </c>
      <c r="B44" s="65"/>
      <c r="C44" s="65"/>
      <c r="D44" s="65"/>
    </row>
    <row r="45" spans="1:7" ht="15.75" x14ac:dyDescent="0.25">
      <c r="A45" s="37" t="s">
        <v>517</v>
      </c>
      <c r="B45" s="37" t="s">
        <v>518</v>
      </c>
      <c r="C45" s="37" t="s">
        <v>519</v>
      </c>
      <c r="D45" s="37" t="s">
        <v>557</v>
      </c>
    </row>
    <row r="46" spans="1:7" ht="15.75" x14ac:dyDescent="0.25">
      <c r="A46" s="52">
        <f ca="1">IF(ROW()-45&gt;$B$22,"",IFERROR(INDEX(CALCUL!$A$4:$A$134,MATCH(ROW()-45,CALCUL!$AE$4:$AE$134,0)),""))</f>
      </c>
      <c r="B46" s="52">
        <f ca="1">IF($A46="","",IFERROR(INDEX(CALCUL!$B$4:$B$134,MATCH($A46,CALCUL!$A$4:$A$134,0)),""))</f>
      </c>
      <c r="C46" s="52">
        <f ca="1">IF($A46="","",IFERROR(INDEX(CALCUL!$C$4:$C$134,MATCH($A46,CALCUL!$A$4:$A$134,0)),""))</f>
      </c>
      <c r="D46" s="52">
        <f ca="1">IF($A46="","",IFERROR(INDEX(REFERENTIEL!$F$4:$F$134,MATCH($A46,REFERENTIEL!$E$4:$E$134,0)),""))</f>
      </c>
    </row>
    <row r="47" spans="1:7" ht="15.75" x14ac:dyDescent="0.25">
      <c r="A47" s="52">
        <f ca="1">IF(ROW()-45&gt;$B$22,"",IFERROR(INDEX(CALCUL!$A$4:$A$134,MATCH(ROW()-45,CALCUL!$AE$4:$AE$134,0)),""))</f>
      </c>
      <c r="B47" s="52">
        <f ca="1">IF($A47="","",IFERROR(INDEX(CALCUL!$B$4:$B$134,MATCH($A47,CALCUL!$A$4:$A$134,0)),""))</f>
      </c>
      <c r="C47" s="52">
        <f ca="1">IF($A47="","",IFERROR(INDEX(CALCUL!$C$4:$C$134,MATCH($A47,CALCUL!$A$4:$A$134,0)),""))</f>
      </c>
      <c r="D47" s="54">
        <f ca="1">IF($A47="","",IFERROR(INDEX(REFERENTIEL!$F$4:$F$134,MATCH($A47,REFERENTIEL!$E$4:$E$134,0)),""))</f>
      </c>
    </row>
    <row r="48" spans="1:7" ht="15.75" x14ac:dyDescent="0.25">
      <c r="A48" s="52">
        <f ca="1">IF(ROW()-45&gt;$B$22,"",IFERROR(INDEX(CALCUL!$A$4:$A$134,MATCH(ROW()-45,CALCUL!$AE$4:$AE$134,0)),""))</f>
      </c>
      <c r="B48" s="52">
        <f ca="1">IF($A48="","",IFERROR(INDEX(CALCUL!$B$4:$B$134,MATCH($A48,CALCUL!$A$4:$A$134,0)),""))</f>
      </c>
      <c r="C48" s="52">
        <f ca="1">IF($A48="","",IFERROR(INDEX(CALCUL!$C$4:$C$134,MATCH($A48,CALCUL!$A$4:$A$134,0)),""))</f>
      </c>
      <c r="D48" s="54">
        <f ca="1">IF($A48="","",IFERROR(INDEX(REFERENTIEL!$F$4:$F$134,MATCH($A48,REFERENTIEL!$E$4:$E$134,0)),""))</f>
      </c>
    </row>
    <row r="49" spans="1:4" ht="15.75" x14ac:dyDescent="0.25">
      <c r="A49" s="52">
        <f ca="1">IF(ROW()-45&gt;$B$22,"",IFERROR(INDEX(CALCUL!$A$4:$A$134,MATCH(ROW()-45,CALCUL!$AE$4:$AE$134,0)),""))</f>
      </c>
      <c r="B49" s="52">
        <f ca="1">IF($A49="","",IFERROR(INDEX(CALCUL!$B$4:$B$134,MATCH($A49,CALCUL!$A$4:$A$134,0)),""))</f>
      </c>
      <c r="C49" s="52">
        <f ca="1">IF($A49="","",IFERROR(INDEX(CALCUL!$C$4:$C$134,MATCH($A49,CALCUL!$A$4:$A$134,0)),""))</f>
      </c>
      <c r="D49" s="54">
        <f ca="1">IF($A49="","",IFERROR(INDEX(REFERENTIEL!$F$4:$F$134,MATCH($A49,REFERENTIEL!$E$4:$E$134,0)),""))</f>
      </c>
    </row>
    <row r="50" spans="1:4" ht="15.75" x14ac:dyDescent="0.25">
      <c r="A50" s="52">
        <f ca="1">IF(ROW()-45&gt;$B$22,"",IFERROR(INDEX(CALCUL!$A$4:$A$134,MATCH(ROW()-45,CALCUL!$AE$4:$AE$134,0)),""))</f>
      </c>
      <c r="B50" s="52">
        <f ca="1">IF($A50="","",IFERROR(INDEX(CALCUL!$B$4:$B$134,MATCH($A50,CALCUL!$A$4:$A$134,0)),""))</f>
      </c>
      <c r="C50" s="52">
        <f ca="1">IF($A50="","",IFERROR(INDEX(CALCUL!$C$4:$C$134,MATCH($A50,CALCUL!$A$4:$A$134,0)),""))</f>
      </c>
      <c r="D50" s="54">
        <f ca="1">IF($A50="","",IFERROR(INDEX(REFERENTIEL!$F$4:$F$134,MATCH($A50,REFERENTIEL!$E$4:$E$134,0)),""))</f>
      </c>
    </row>
    <row r="51" spans="1:4" ht="15.75" x14ac:dyDescent="0.25">
      <c r="A51" s="52">
        <f ca="1">IF(ROW()-45&gt;$B$22,"",IFERROR(INDEX(CALCUL!$A$4:$A$134,MATCH(ROW()-45,CALCUL!$AE$4:$AE$134,0)),""))</f>
      </c>
      <c r="B51" s="52">
        <f ca="1">IF($A51="","",IFERROR(INDEX(CALCUL!$B$4:$B$134,MATCH($A51,CALCUL!$A$4:$A$134,0)),""))</f>
      </c>
      <c r="C51" s="52">
        <f ca="1">IF($A51="","",IFERROR(INDEX(CALCUL!$C$4:$C$134,MATCH($A51,CALCUL!$A$4:$A$134,0)),""))</f>
      </c>
      <c r="D51" s="54">
        <f ca="1">IF($A51="","",IFERROR(INDEX(REFERENTIEL!$F$4:$F$134,MATCH($A51,REFERENTIEL!$E$4:$E$134,0)),""))</f>
      </c>
    </row>
    <row r="52" spans="1:4" ht="15.75" x14ac:dyDescent="0.25">
      <c r="A52" s="52">
        <f ca="1">IF(ROW()-45&gt;$B$22,"",IFERROR(INDEX(CALCUL!$A$4:$A$134,MATCH(ROW()-45,CALCUL!$AE$4:$AE$134,0)),""))</f>
      </c>
      <c r="B52" s="52">
        <f ca="1">IF($A52="","",IFERROR(INDEX(CALCUL!$B$4:$B$134,MATCH($A52,CALCUL!$A$4:$A$134,0)),""))</f>
      </c>
      <c r="C52" s="52">
        <f ca="1">IF($A52="","",IFERROR(INDEX(CALCUL!$C$4:$C$134,MATCH($A52,CALCUL!$A$4:$A$134,0)),""))</f>
      </c>
      <c r="D52" s="54">
        <f ca="1">IF($A52="","",IFERROR(INDEX(REFERENTIEL!$F$4:$F$134,MATCH($A52,REFERENTIEL!$E$4:$E$134,0)),""))</f>
      </c>
    </row>
    <row r="53" spans="1:4" ht="15.75" x14ac:dyDescent="0.25">
      <c r="A53" s="52">
        <f ca="1">IF(ROW()-45&gt;$B$22,"",IFERROR(INDEX(CALCUL!$A$4:$A$134,MATCH(ROW()-45,CALCUL!$AE$4:$AE$134,0)),""))</f>
      </c>
      <c r="B53" s="52">
        <f ca="1">IF($A53="","",IFERROR(INDEX(CALCUL!$B$4:$B$134,MATCH($A53,CALCUL!$A$4:$A$134,0)),""))</f>
      </c>
      <c r="C53" s="52">
        <f ca="1">IF($A53="","",IFERROR(INDEX(CALCUL!$C$4:$C$134,MATCH($A53,CALCUL!$A$4:$A$134,0)),""))</f>
      </c>
      <c r="D53" s="54">
        <f ca="1">IF($A53="","",IFERROR(INDEX(REFERENTIEL!$F$4:$F$134,MATCH($A53,REFERENTIEL!$E$4:$E$134,0)),""))</f>
      </c>
    </row>
    <row r="54" spans="1:4" ht="15.75" x14ac:dyDescent="0.25">
      <c r="A54" s="52">
        <f ca="1">IF(ROW()-45&gt;$B$22,"",IFERROR(INDEX(CALCUL!$A$4:$A$134,MATCH(ROW()-45,CALCUL!$AE$4:$AE$134,0)),""))</f>
      </c>
      <c r="B54" s="52">
        <f ca="1">IF($A54="","",IFERROR(INDEX(CALCUL!$B$4:$B$134,MATCH($A54,CALCUL!$A$4:$A$134,0)),""))</f>
      </c>
      <c r="C54" s="52">
        <f ca="1">IF($A54="","",IFERROR(INDEX(CALCUL!$C$4:$C$134,MATCH($A54,CALCUL!$A$4:$A$134,0)),""))</f>
      </c>
      <c r="D54" s="54">
        <f ca="1">IF($A54="","",IFERROR(INDEX(REFERENTIEL!$F$4:$F$134,MATCH($A54,REFERENTIEL!$E$4:$E$134,0)),""))</f>
      </c>
    </row>
    <row r="55" spans="1:4" ht="15.75" x14ac:dyDescent="0.25">
      <c r="A55" s="52">
        <f ca="1">IF(ROW()-45&gt;$B$22,"",IFERROR(INDEX(CALCUL!$A$4:$A$134,MATCH(ROW()-45,CALCUL!$AE$4:$AE$134,0)),""))</f>
      </c>
      <c r="B55" s="52">
        <f ca="1">IF($A55="","",IFERROR(INDEX(CALCUL!$B$4:$B$134,MATCH($A55,CALCUL!$A$4:$A$134,0)),""))</f>
      </c>
      <c r="C55" s="52">
        <f ca="1">IF($A55="","",IFERROR(INDEX(CALCUL!$C$4:$C$134,MATCH($A55,CALCUL!$A$4:$A$134,0)),""))</f>
      </c>
      <c r="D55" s="54">
        <f ca="1">IF($A55="","",IFERROR(INDEX(REFERENTIEL!$F$4:$F$134,MATCH($A55,REFERENTIEL!$E$4:$E$134,0)),""))</f>
      </c>
    </row>
    <row r="56" spans="1:4" ht="15.75" x14ac:dyDescent="0.25">
      <c r="A56" s="52">
        <f ca="1">IF(ROW()-45&gt;$B$22,"",IFERROR(INDEX(CALCUL!$A$4:$A$134,MATCH(ROW()-45,CALCUL!$AE$4:$AE$134,0)),""))</f>
      </c>
      <c r="B56" s="52">
        <f ca="1">IF($A56="","",IFERROR(INDEX(CALCUL!$B$4:$B$134,MATCH($A56,CALCUL!$A$4:$A$134,0)),""))</f>
      </c>
      <c r="C56" s="52">
        <f ca="1">IF($A56="","",IFERROR(INDEX(CALCUL!$C$4:$C$134,MATCH($A56,CALCUL!$A$4:$A$134,0)),""))</f>
      </c>
      <c r="D56" s="54">
        <f ca="1">IF($A56="","",IFERROR(INDEX(REFERENTIEL!$F$4:$F$134,MATCH($A56,REFERENTIEL!$E$4:$E$134,0)),""))</f>
      </c>
    </row>
    <row r="57" spans="1:4" ht="15.75" x14ac:dyDescent="0.25">
      <c r="A57" s="52">
        <f ca="1">IF(ROW()-45&gt;$B$22,"",IFERROR(INDEX(CALCUL!$A$4:$A$134,MATCH(ROW()-45,CALCUL!$AE$4:$AE$134,0)),""))</f>
      </c>
      <c r="B57" s="52">
        <f ca="1">IF($A57="","",IFERROR(INDEX(CALCUL!$B$4:$B$134,MATCH($A57,CALCUL!$A$4:$A$134,0)),""))</f>
      </c>
      <c r="C57" s="52">
        <f ca="1">IF($A57="","",IFERROR(INDEX(CALCUL!$C$4:$C$134,MATCH($A57,CALCUL!$A$4:$A$134,0)),""))</f>
      </c>
      <c r="D57" s="54">
        <f ca="1">IF($A57="","",IFERROR(INDEX(REFERENTIEL!$F$4:$F$134,MATCH($A57,REFERENTIEL!$E$4:$E$134,0)),""))</f>
      </c>
    </row>
    <row r="58" spans="1:4" ht="15.75" x14ac:dyDescent="0.25">
      <c r="A58" s="52">
        <f ca="1">IF(ROW()-45&gt;$B$22,"",IFERROR(INDEX(CALCUL!$A$4:$A$134,MATCH(ROW()-45,CALCUL!$AE$4:$AE$134,0)),""))</f>
      </c>
      <c r="B58" s="52">
        <f ca="1">IF($A58="","",IFERROR(INDEX(CALCUL!$B$4:$B$134,MATCH($A58,CALCUL!$A$4:$A$134,0)),""))</f>
      </c>
      <c r="C58" s="52">
        <f ca="1">IF($A58="","",IFERROR(INDEX(CALCUL!$C$4:$C$134,MATCH($A58,CALCUL!$A$4:$A$134,0)),""))</f>
      </c>
      <c r="D58" s="54">
        <f ca="1">IF($A58="","",IFERROR(INDEX(REFERENTIEL!$F$4:$F$134,MATCH($A58,REFERENTIEL!$E$4:$E$134,0)),""))</f>
      </c>
    </row>
    <row r="59" spans="1:4" ht="15.75" x14ac:dyDescent="0.25">
      <c r="A59" s="52">
        <f ca="1">IF(ROW()-45&gt;$B$22,"",IFERROR(INDEX(CALCUL!$A$4:$A$134,MATCH(ROW()-45,CALCUL!$AE$4:$AE$134,0)),""))</f>
      </c>
      <c r="B59" s="52">
        <f ca="1">IF($A59="","",IFERROR(INDEX(CALCUL!$B$4:$B$134,MATCH($A59,CALCUL!$A$4:$A$134,0)),""))</f>
      </c>
      <c r="C59" s="52">
        <f ca="1">IF($A59="","",IFERROR(INDEX(CALCUL!$C$4:$C$134,MATCH($A59,CALCUL!$A$4:$A$134,0)),""))</f>
      </c>
      <c r="D59" s="54">
        <f ca="1">IF($A59="","",IFERROR(INDEX(REFERENTIEL!$F$4:$F$134,MATCH($A59,REFERENTIEL!$E$4:$E$134,0)),""))</f>
      </c>
    </row>
    <row r="60" spans="1:4" ht="15.75" x14ac:dyDescent="0.25">
      <c r="A60" s="52">
        <f ca="1">IF(ROW()-45&gt;$B$22,"",IFERROR(INDEX(CALCUL!$A$4:$A$134,MATCH(ROW()-45,CALCUL!$AE$4:$AE$134,0)),""))</f>
      </c>
      <c r="B60" s="52">
        <f ca="1">IF($A60="","",IFERROR(INDEX(CALCUL!$B$4:$B$134,MATCH($A60,CALCUL!$A$4:$A$134,0)),""))</f>
      </c>
      <c r="C60" s="52">
        <f ca="1">IF($A60="","",IFERROR(INDEX(CALCUL!$C$4:$C$134,MATCH($A60,CALCUL!$A$4:$A$134,0)),""))</f>
      </c>
      <c r="D60" s="54">
        <f ca="1">IF($A60="","",IFERROR(INDEX(REFERENTIEL!$F$4:$F$134,MATCH($A60,REFERENTIEL!$E$4:$E$134,0)),""))</f>
      </c>
    </row>
    <row r="61" spans="1:4" ht="15.75" x14ac:dyDescent="0.25">
      <c r="A61" s="52">
        <f ca="1">IF(ROW()-45&gt;$B$22,"",IFERROR(INDEX(CALCUL!$A$4:$A$134,MATCH(ROW()-45,CALCUL!$AE$4:$AE$134,0)),""))</f>
      </c>
      <c r="B61" s="52">
        <f ca="1">IF($A61="","",IFERROR(INDEX(CALCUL!$B$4:$B$134,MATCH($A61,CALCUL!$A$4:$A$134,0)),""))</f>
      </c>
      <c r="C61" s="52">
        <f ca="1">IF($A61="","",IFERROR(INDEX(CALCUL!$C$4:$C$134,MATCH($A61,CALCUL!$A$4:$A$134,0)),""))</f>
      </c>
      <c r="D61" s="54">
        <f ca="1">IF($A61="","",IFERROR(INDEX(REFERENTIEL!$F$4:$F$134,MATCH($A61,REFERENTIEL!$E$4:$E$134,0)),""))</f>
      </c>
    </row>
    <row r="62" spans="1:4" ht="15.75" x14ac:dyDescent="0.25">
      <c r="A62" s="52">
        <f ca="1">IF(ROW()-45&gt;$B$22,"",IFERROR(INDEX(CALCUL!$A$4:$A$134,MATCH(ROW()-45,CALCUL!$AE$4:$AE$134,0)),""))</f>
      </c>
      <c r="B62" s="52">
        <f ca="1">IF($A62="","",IFERROR(INDEX(CALCUL!$B$4:$B$134,MATCH($A62,CALCUL!$A$4:$A$134,0)),""))</f>
      </c>
      <c r="C62" s="52">
        <f ca="1">IF($A62="","",IFERROR(INDEX(CALCUL!$C$4:$C$134,MATCH($A62,CALCUL!$A$4:$A$134,0)),""))</f>
      </c>
      <c r="D62" s="54">
        <f ca="1">IF($A62="","",IFERROR(INDEX(REFERENTIEL!$F$4:$F$134,MATCH($A62,REFERENTIEL!$E$4:$E$134,0)),""))</f>
      </c>
    </row>
    <row r="63" spans="1:4" ht="15.75" x14ac:dyDescent="0.25">
      <c r="A63" s="52">
        <f ca="1">IF(ROW()-45&gt;$B$22,"",IFERROR(INDEX(CALCUL!$A$4:$A$134,MATCH(ROW()-45,CALCUL!$AE$4:$AE$134,0)),""))</f>
      </c>
      <c r="B63" s="52">
        <f ca="1">IF($A63="","",IFERROR(INDEX(CALCUL!$B$4:$B$134,MATCH($A63,CALCUL!$A$4:$A$134,0)),""))</f>
      </c>
      <c r="C63" s="52">
        <f ca="1">IF($A63="","",IFERROR(INDEX(CALCUL!$C$4:$C$134,MATCH($A63,CALCUL!$A$4:$A$134,0)),""))</f>
      </c>
      <c r="D63" s="54">
        <f ca="1">IF($A63="","",IFERROR(INDEX(REFERENTIEL!$F$4:$F$134,MATCH($A63,REFERENTIEL!$E$4:$E$134,0)),""))</f>
      </c>
    </row>
    <row r="64" spans="1:4" ht="15.75" x14ac:dyDescent="0.25">
      <c r="A64" s="52">
        <f ca="1">IF(ROW()-45&gt;$B$22,"",IFERROR(INDEX(CALCUL!$A$4:$A$134,MATCH(ROW()-45,CALCUL!$AE$4:$AE$134,0)),""))</f>
      </c>
      <c r="B64" s="52">
        <f ca="1">IF($A64="","",IFERROR(INDEX(CALCUL!$B$4:$B$134,MATCH($A64,CALCUL!$A$4:$A$134,0)),""))</f>
      </c>
      <c r="C64" s="52">
        <f ca="1">IF($A64="","",IFERROR(INDEX(CALCUL!$C$4:$C$134,MATCH($A64,CALCUL!$A$4:$A$134,0)),""))</f>
      </c>
      <c r="D64" s="54">
        <f ca="1">IF($A64="","",IFERROR(INDEX(REFERENTIEL!$F$4:$F$134,MATCH($A64,REFERENTIEL!$E$4:$E$134,0)),""))</f>
      </c>
    </row>
    <row r="65" spans="1:4" ht="15.75" x14ac:dyDescent="0.25">
      <c r="A65" s="52">
        <f ca="1">IF(ROW()-45&gt;$B$22,"",IFERROR(INDEX(CALCUL!$A$4:$A$134,MATCH(ROW()-45,CALCUL!$AE$4:$AE$134,0)),""))</f>
      </c>
      <c r="B65" s="52">
        <f ca="1">IF($A65="","",IFERROR(INDEX(CALCUL!$B$4:$B$134,MATCH($A65,CALCUL!$A$4:$A$134,0)),""))</f>
      </c>
      <c r="C65" s="52">
        <f ca="1">IF($A65="","",IFERROR(INDEX(CALCUL!$C$4:$C$134,MATCH($A65,CALCUL!$A$4:$A$134,0)),""))</f>
      </c>
      <c r="D65" s="54">
        <f ca="1">IF($A65="","",IFERROR(INDEX(REFERENTIEL!$F$4:$F$134,MATCH($A65,REFERENTIEL!$E$4:$E$134,0)),""))</f>
      </c>
    </row>
    <row r="66" spans="1:4" ht="15.75" x14ac:dyDescent="0.25">
      <c r="A66" s="52">
        <f ca="1">IF(ROW()-45&gt;$B$22,"",IFERROR(INDEX(CALCUL!$A$4:$A$134,MATCH(ROW()-45,CALCUL!$AE$4:$AE$134,0)),""))</f>
      </c>
      <c r="B66" s="52">
        <f ca="1">IF($A66="","",IFERROR(INDEX(CALCUL!$B$4:$B$134,MATCH($A66,CALCUL!$A$4:$A$134,0)),""))</f>
      </c>
      <c r="C66" s="52">
        <f ca="1">IF($A66="","",IFERROR(INDEX(CALCUL!$C$4:$C$134,MATCH($A66,CALCUL!$A$4:$A$134,0)),""))</f>
      </c>
      <c r="D66" s="54">
        <f ca="1">IF($A66="","",IFERROR(INDEX(REFERENTIEL!$F$4:$F$134,MATCH($A66,REFERENTIEL!$E$4:$E$134,0)),""))</f>
      </c>
    </row>
    <row r="67" spans="1:4" ht="15.75" x14ac:dyDescent="0.25">
      <c r="A67" s="52">
        <f ca="1">IF(ROW()-45&gt;$B$22,"",IFERROR(INDEX(CALCUL!$A$4:$A$134,MATCH(ROW()-45,CALCUL!$AE$4:$AE$134,0)),""))</f>
      </c>
      <c r="B67" s="52">
        <f ca="1">IF($A67="","",IFERROR(INDEX(CALCUL!$B$4:$B$134,MATCH($A67,CALCUL!$A$4:$A$134,0)),""))</f>
      </c>
      <c r="C67" s="52">
        <f ca="1">IF($A67="","",IFERROR(INDEX(CALCUL!$C$4:$C$134,MATCH($A67,CALCUL!$A$4:$A$134,0)),""))</f>
      </c>
      <c r="D67" s="54">
        <f ca="1">IF($A67="","",IFERROR(INDEX(REFERENTIEL!$F$4:$F$134,MATCH($A67,REFERENTIEL!$E$4:$E$134,0)),""))</f>
      </c>
    </row>
    <row r="68" spans="1:4" ht="15.75" x14ac:dyDescent="0.25">
      <c r="A68" s="52">
        <f ca="1">IF(ROW()-45&gt;$B$22,"",IFERROR(INDEX(CALCUL!$A$4:$A$134,MATCH(ROW()-45,CALCUL!$AE$4:$AE$134,0)),""))</f>
      </c>
      <c r="B68" s="52">
        <f ca="1">IF($A68="","",IFERROR(INDEX(CALCUL!$B$4:$B$134,MATCH($A68,CALCUL!$A$4:$A$134,0)),""))</f>
      </c>
      <c r="C68" s="52">
        <f ca="1">IF($A68="","",IFERROR(INDEX(CALCUL!$C$4:$C$134,MATCH($A68,CALCUL!$A$4:$A$134,0)),""))</f>
      </c>
      <c r="D68" s="54">
        <f ca="1">IF($A68="","",IFERROR(INDEX(REFERENTIEL!$F$4:$F$134,MATCH($A68,REFERENTIEL!$E$4:$E$134,0)),""))</f>
      </c>
    </row>
    <row r="69" spans="1:4" ht="15.75" x14ac:dyDescent="0.25">
      <c r="A69" s="52">
        <f ca="1">IF(ROW()-45&gt;$B$22,"",IFERROR(INDEX(CALCUL!$A$4:$A$134,MATCH(ROW()-45,CALCUL!$AE$4:$AE$134,0)),""))</f>
      </c>
      <c r="B69" s="52">
        <f ca="1">IF($A69="","",IFERROR(INDEX(CALCUL!$B$4:$B$134,MATCH($A69,CALCUL!$A$4:$A$134,0)),""))</f>
      </c>
      <c r="C69" s="52">
        <f ca="1">IF($A69="","",IFERROR(INDEX(CALCUL!$C$4:$C$134,MATCH($A69,CALCUL!$A$4:$A$134,0)),""))</f>
      </c>
      <c r="D69" s="54">
        <f ca="1">IF($A69="","",IFERROR(INDEX(REFERENTIEL!$F$4:$F$134,MATCH($A69,REFERENTIEL!$E$4:$E$134,0)),""))</f>
      </c>
    </row>
    <row r="70" spans="1:4" ht="15.75" x14ac:dyDescent="0.25">
      <c r="A70" s="52">
        <f ca="1">IF(ROW()-45&gt;$B$22,"",IFERROR(INDEX(CALCUL!$A$4:$A$134,MATCH(ROW()-45,CALCUL!$AE$4:$AE$134,0)),""))</f>
      </c>
      <c r="B70" s="52">
        <f ca="1">IF($A70="","",IFERROR(INDEX(CALCUL!$B$4:$B$134,MATCH($A70,CALCUL!$A$4:$A$134,0)),""))</f>
      </c>
      <c r="C70" s="52">
        <f ca="1">IF($A70="","",IFERROR(INDEX(CALCUL!$C$4:$C$134,MATCH($A70,CALCUL!$A$4:$A$134,0)),""))</f>
      </c>
      <c r="D70" s="54">
        <f ca="1">IF($A70="","",IFERROR(INDEX(REFERENTIEL!$F$4:$F$134,MATCH($A70,REFERENTIEL!$E$4:$E$134,0)),""))</f>
      </c>
    </row>
    <row r="71" spans="1:4" ht="15.75" x14ac:dyDescent="0.25">
      <c r="A71" s="52">
        <f ca="1">IF(ROW()-45&gt;$B$22,"",IFERROR(INDEX(CALCUL!$A$4:$A$134,MATCH(ROW()-45,CALCUL!$AE$4:$AE$134,0)),""))</f>
      </c>
      <c r="B71" s="52">
        <f ca="1">IF($A71="","",IFERROR(INDEX(CALCUL!$B$4:$B$134,MATCH($A71,CALCUL!$A$4:$A$134,0)),""))</f>
      </c>
      <c r="C71" s="52">
        <f ca="1">IF($A71="","",IFERROR(INDEX(CALCUL!$C$4:$C$134,MATCH($A71,CALCUL!$A$4:$A$134,0)),""))</f>
      </c>
      <c r="D71" s="54">
        <f ca="1">IF($A71="","",IFERROR(INDEX(REFERENTIEL!$F$4:$F$134,MATCH($A71,REFERENTIEL!$E$4:$E$134,0)),""))</f>
      </c>
    </row>
    <row r="72" spans="1:4" ht="15.75" x14ac:dyDescent="0.25">
      <c r="A72" s="52">
        <f ca="1">IF(ROW()-45&gt;$B$22,"",IFERROR(INDEX(CALCUL!$A$4:$A$134,MATCH(ROW()-45,CALCUL!$AE$4:$AE$134,0)),""))</f>
      </c>
      <c r="B72" s="52">
        <f ca="1">IF($A72="","",IFERROR(INDEX(CALCUL!$B$4:$B$134,MATCH($A72,CALCUL!$A$4:$A$134,0)),""))</f>
      </c>
      <c r="C72" s="52">
        <f ca="1">IF($A72="","",IFERROR(INDEX(CALCUL!$C$4:$C$134,MATCH($A72,CALCUL!$A$4:$A$134,0)),""))</f>
      </c>
      <c r="D72" s="54">
        <f ca="1">IF($A72="","",IFERROR(INDEX(REFERENTIEL!$F$4:$F$134,MATCH($A72,REFERENTIEL!$E$4:$E$134,0)),""))</f>
      </c>
    </row>
    <row r="73" spans="1:4" ht="15.75" x14ac:dyDescent="0.25">
      <c r="A73" s="52">
        <f ca="1">IF(ROW()-45&gt;$B$22,"",IFERROR(INDEX(CALCUL!$A$4:$A$134,MATCH(ROW()-45,CALCUL!$AE$4:$AE$134,0)),""))</f>
      </c>
      <c r="B73" s="52">
        <f ca="1">IF($A73="","",IFERROR(INDEX(CALCUL!$B$4:$B$134,MATCH($A73,CALCUL!$A$4:$A$134,0)),""))</f>
      </c>
      <c r="C73" s="52">
        <f ca="1">IF($A73="","",IFERROR(INDEX(CALCUL!$C$4:$C$134,MATCH($A73,CALCUL!$A$4:$A$134,0)),""))</f>
      </c>
      <c r="D73" s="54">
        <f ca="1">IF($A73="","",IFERROR(INDEX(REFERENTIEL!$F$4:$F$134,MATCH($A73,REFERENTIEL!$E$4:$E$134,0)),""))</f>
      </c>
    </row>
    <row r="74" spans="1:4" ht="15.75" x14ac:dyDescent="0.25">
      <c r="A74" s="52">
        <f ca="1">IF(ROW()-45&gt;$B$22,"",IFERROR(INDEX(CALCUL!$A$4:$A$134,MATCH(ROW()-45,CALCUL!$AE$4:$AE$134,0)),""))</f>
      </c>
      <c r="B74" s="52">
        <f ca="1">IF($A74="","",IFERROR(INDEX(CALCUL!$B$4:$B$134,MATCH($A74,CALCUL!$A$4:$A$134,0)),""))</f>
      </c>
      <c r="C74" s="52">
        <f ca="1">IF($A74="","",IFERROR(INDEX(CALCUL!$C$4:$C$134,MATCH($A74,CALCUL!$A$4:$A$134,0)),""))</f>
      </c>
      <c r="D74" s="54">
        <f ca="1">IF($A74="","",IFERROR(INDEX(REFERENTIEL!$F$4:$F$134,MATCH($A74,REFERENTIEL!$E$4:$E$134,0)),""))</f>
      </c>
    </row>
    <row r="75" spans="1:4" ht="15.75" x14ac:dyDescent="0.25">
      <c r="A75" s="52">
        <f ca="1">IF(ROW()-45&gt;$B$22,"",IFERROR(INDEX(CALCUL!$A$4:$A$134,MATCH(ROW()-45,CALCUL!$AE$4:$AE$134,0)),""))</f>
      </c>
      <c r="B75" s="52">
        <f ca="1">IF($A75="","",IFERROR(INDEX(CALCUL!$B$4:$B$134,MATCH($A75,CALCUL!$A$4:$A$134,0)),""))</f>
      </c>
      <c r="C75" s="52">
        <f ca="1">IF($A75="","",IFERROR(INDEX(CALCUL!$C$4:$C$134,MATCH($A75,CALCUL!$A$4:$A$134,0)),""))</f>
      </c>
      <c r="D75" s="54">
        <f ca="1">IF($A75="","",IFERROR(INDEX(REFERENTIEL!$F$4:$F$134,MATCH($A75,REFERENTIEL!$E$4:$E$134,0)),""))</f>
      </c>
    </row>
    <row r="76" spans="1:4" ht="15.75" x14ac:dyDescent="0.25">
      <c r="A76" s="52">
        <f ca="1">IF(ROW()-45&gt;$B$22,"",IFERROR(INDEX(CALCUL!$A$4:$A$134,MATCH(ROW()-45,CALCUL!$AE$4:$AE$134,0)),""))</f>
      </c>
      <c r="B76" s="52">
        <f ca="1">IF($A76="","",IFERROR(INDEX(CALCUL!$B$4:$B$134,MATCH($A76,CALCUL!$A$4:$A$134,0)),""))</f>
      </c>
      <c r="C76" s="52">
        <f ca="1">IF($A76="","",IFERROR(INDEX(CALCUL!$C$4:$C$134,MATCH($A76,CALCUL!$A$4:$A$134,0)),""))</f>
      </c>
      <c r="D76" s="54">
        <f ca="1">IF($A76="","",IFERROR(INDEX(REFERENTIEL!$F$4:$F$134,MATCH($A76,REFERENTIEL!$E$4:$E$134,0)),""))</f>
      </c>
    </row>
    <row r="77" spans="1:4" ht="15.75" x14ac:dyDescent="0.25">
      <c r="A77" s="52">
        <f ca="1">IF(ROW()-45&gt;$B$22,"",IFERROR(INDEX(CALCUL!$A$4:$A$134,MATCH(ROW()-45,CALCUL!$AE$4:$AE$134,0)),""))</f>
      </c>
      <c r="B77" s="52">
        <f ca="1">IF($A77="","",IFERROR(INDEX(CALCUL!$B$4:$B$134,MATCH($A77,CALCUL!$A$4:$A$134,0)),""))</f>
      </c>
      <c r="C77" s="52">
        <f ca="1">IF($A77="","",IFERROR(INDEX(CALCUL!$C$4:$C$134,MATCH($A77,CALCUL!$A$4:$A$134,0)),""))</f>
      </c>
      <c r="D77" s="54">
        <f ca="1">IF($A77="","",IFERROR(INDEX(REFERENTIEL!$F$4:$F$134,MATCH($A77,REFERENTIEL!$E$4:$E$134,0)),""))</f>
      </c>
    </row>
    <row r="78" spans="1:4" ht="15.75" x14ac:dyDescent="0.25">
      <c r="A78" s="52">
        <f ca="1">IF(ROW()-45&gt;$B$22,"",IFERROR(INDEX(CALCUL!$A$4:$A$134,MATCH(ROW()-45,CALCUL!$AE$4:$AE$134,0)),""))</f>
      </c>
      <c r="B78" s="52">
        <f ca="1">IF($A78="","",IFERROR(INDEX(CALCUL!$B$4:$B$134,MATCH($A78,CALCUL!$A$4:$A$134,0)),""))</f>
      </c>
      <c r="C78" s="52">
        <f ca="1">IF($A78="","",IFERROR(INDEX(CALCUL!$C$4:$C$134,MATCH($A78,CALCUL!$A$4:$A$134,0)),""))</f>
      </c>
      <c r="D78" s="54">
        <f ca="1">IF($A78="","",IFERROR(INDEX(REFERENTIEL!$F$4:$F$134,MATCH($A78,REFERENTIEL!$E$4:$E$134,0)),""))</f>
      </c>
    </row>
    <row r="79" spans="1:4" ht="15.75" x14ac:dyDescent="0.25">
      <c r="A79" s="52">
        <f ca="1">IF(ROW()-45&gt;$B$22,"",IFERROR(INDEX(CALCUL!$A$4:$A$134,MATCH(ROW()-45,CALCUL!$AE$4:$AE$134,0)),""))</f>
      </c>
      <c r="B79" s="52">
        <f ca="1">IF($A79="","",IFERROR(INDEX(CALCUL!$B$4:$B$134,MATCH($A79,CALCUL!$A$4:$A$134,0)),""))</f>
      </c>
      <c r="C79" s="52">
        <f ca="1">IF($A79="","",IFERROR(INDEX(CALCUL!$C$4:$C$134,MATCH($A79,CALCUL!$A$4:$A$134,0)),""))</f>
      </c>
      <c r="D79" s="54">
        <f ca="1">IF($A79="","",IFERROR(INDEX(REFERENTIEL!$F$4:$F$134,MATCH($A79,REFERENTIEL!$E$4:$E$134,0)),""))</f>
      </c>
    </row>
    <row r="80" spans="1:4" ht="15.75" x14ac:dyDescent="0.25">
      <c r="A80" s="52">
        <f ca="1">IF(ROW()-45&gt;$B$22,"",IFERROR(INDEX(CALCUL!$A$4:$A$134,MATCH(ROW()-45,CALCUL!$AE$4:$AE$134,0)),""))</f>
      </c>
      <c r="B80" s="52">
        <f ca="1">IF($A80="","",IFERROR(INDEX(CALCUL!$B$4:$B$134,MATCH($A80,CALCUL!$A$4:$A$134,0)),""))</f>
      </c>
      <c r="C80" s="52">
        <f ca="1">IF($A80="","",IFERROR(INDEX(CALCUL!$C$4:$C$134,MATCH($A80,CALCUL!$A$4:$A$134,0)),""))</f>
      </c>
      <c r="D80" s="54">
        <f ca="1">IF($A80="","",IFERROR(INDEX(REFERENTIEL!$F$4:$F$134,MATCH($A80,REFERENTIEL!$E$4:$E$134,0)),""))</f>
      </c>
    </row>
    <row r="81" spans="1:4" ht="15.75" x14ac:dyDescent="0.25">
      <c r="A81" s="52">
        <f ca="1">IF(ROW()-45&gt;$B$22,"",IFERROR(INDEX(CALCUL!$A$4:$A$134,MATCH(ROW()-45,CALCUL!$AE$4:$AE$134,0)),""))</f>
      </c>
      <c r="B81" s="52">
        <f ca="1">IF($A81="","",IFERROR(INDEX(CALCUL!$B$4:$B$134,MATCH($A81,CALCUL!$A$4:$A$134,0)),""))</f>
      </c>
      <c r="C81" s="52">
        <f ca="1">IF($A81="","",IFERROR(INDEX(CALCUL!$C$4:$C$134,MATCH($A81,CALCUL!$A$4:$A$134,0)),""))</f>
      </c>
      <c r="D81" s="54">
        <f ca="1">IF($A81="","",IFERROR(INDEX(REFERENTIEL!$F$4:$F$134,MATCH($A81,REFERENTIEL!$E$4:$E$134,0)),""))</f>
      </c>
    </row>
    <row r="82" spans="1:4" ht="15.75" x14ac:dyDescent="0.25">
      <c r="A82" s="52">
        <f ca="1">IF(ROW()-45&gt;$B$22,"",IFERROR(INDEX(CALCUL!$A$4:$A$134,MATCH(ROW()-45,CALCUL!$AE$4:$AE$134,0)),""))</f>
      </c>
      <c r="B82" s="52">
        <f ca="1">IF($A82="","",IFERROR(INDEX(CALCUL!$B$4:$B$134,MATCH($A82,CALCUL!$A$4:$A$134,0)),""))</f>
      </c>
      <c r="C82" s="52">
        <f ca="1">IF($A82="","",IFERROR(INDEX(CALCUL!$C$4:$C$134,MATCH($A82,CALCUL!$A$4:$A$134,0)),""))</f>
      </c>
      <c r="D82" s="54">
        <f ca="1">IF($A82="","",IFERROR(INDEX(REFERENTIEL!$F$4:$F$134,MATCH($A82,REFERENTIEL!$E$4:$E$134,0)),""))</f>
      </c>
    </row>
    <row r="83" spans="1:4" ht="15.75" x14ac:dyDescent="0.25">
      <c r="A83" s="52">
        <f ca="1">IF(ROW()-45&gt;$B$22,"",IFERROR(INDEX(CALCUL!$A$4:$A$134,MATCH(ROW()-45,CALCUL!$AE$4:$AE$134,0)),""))</f>
      </c>
      <c r="B83" s="52">
        <f ca="1">IF($A83="","",IFERROR(INDEX(CALCUL!$B$4:$B$134,MATCH($A83,CALCUL!$A$4:$A$134,0)),""))</f>
      </c>
      <c r="C83" s="52">
        <f ca="1">IF($A83="","",IFERROR(INDEX(CALCUL!$C$4:$C$134,MATCH($A83,CALCUL!$A$4:$A$134,0)),""))</f>
      </c>
      <c r="D83" s="54">
        <f ca="1">IF($A83="","",IFERROR(INDEX(REFERENTIEL!$F$4:$F$134,MATCH($A83,REFERENTIEL!$E$4:$E$134,0)),""))</f>
      </c>
    </row>
    <row r="84" spans="1:4" ht="15.75" x14ac:dyDescent="0.25">
      <c r="A84" s="52">
        <f ca="1">IF(ROW()-45&gt;$B$22,"",IFERROR(INDEX(CALCUL!$A$4:$A$134,MATCH(ROW()-45,CALCUL!$AE$4:$AE$134,0)),""))</f>
      </c>
      <c r="B84" s="52">
        <f ca="1">IF($A84="","",IFERROR(INDEX(CALCUL!$B$4:$B$134,MATCH($A84,CALCUL!$A$4:$A$134,0)),""))</f>
      </c>
      <c r="C84" s="52">
        <f ca="1">IF($A84="","",IFERROR(INDEX(CALCUL!$C$4:$C$134,MATCH($A84,CALCUL!$A$4:$A$134,0)),""))</f>
      </c>
      <c r="D84" s="54">
        <f ca="1">IF($A84="","",IFERROR(INDEX(REFERENTIEL!$F$4:$F$134,MATCH($A84,REFERENTIEL!$E$4:$E$134,0)),""))</f>
      </c>
    </row>
    <row r="85" spans="1:4" ht="15.75" x14ac:dyDescent="0.25">
      <c r="A85" s="52">
        <f ca="1">IF(ROW()-45&gt;$B$22,"",IFERROR(INDEX(CALCUL!$A$4:$A$134,MATCH(ROW()-45,CALCUL!$AE$4:$AE$134,0)),""))</f>
      </c>
      <c r="B85" s="52">
        <f ca="1">IF($A85="","",IFERROR(INDEX(CALCUL!$B$4:$B$134,MATCH($A85,CALCUL!$A$4:$A$134,0)),""))</f>
      </c>
      <c r="C85" s="52">
        <f ca="1">IF($A85="","",IFERROR(INDEX(CALCUL!$C$4:$C$134,MATCH($A85,CALCUL!$A$4:$A$134,0)),""))</f>
      </c>
      <c r="D85" s="54">
        <f ca="1">IF($A85="","",IFERROR(INDEX(REFERENTIEL!$F$4:$F$134,MATCH($A85,REFERENTIEL!$E$4:$E$134,0)),""))</f>
      </c>
    </row>
    <row r="86" spans="1:4" ht="15.75" x14ac:dyDescent="0.25">
      <c r="A86" s="52">
        <f ca="1">IF(ROW()-45&gt;$B$22,"",IFERROR(INDEX(CALCUL!$A$4:$A$134,MATCH(ROW()-45,CALCUL!$AE$4:$AE$134,0)),""))</f>
      </c>
      <c r="B86" s="52">
        <f ca="1">IF($A86="","",IFERROR(INDEX(CALCUL!$B$4:$B$134,MATCH($A86,CALCUL!$A$4:$A$134,0)),""))</f>
      </c>
      <c r="C86" s="52">
        <f ca="1">IF($A86="","",IFERROR(INDEX(CALCUL!$C$4:$C$134,MATCH($A86,CALCUL!$A$4:$A$134,0)),""))</f>
      </c>
      <c r="D86" s="54">
        <f ca="1">IF($A86="","",IFERROR(INDEX(REFERENTIEL!$F$4:$F$134,MATCH($A86,REFERENTIEL!$E$4:$E$134,0)),""))</f>
      </c>
    </row>
    <row r="87" spans="1:4" ht="15.75" x14ac:dyDescent="0.25">
      <c r="A87" s="52">
        <f ca="1">IF(ROW()-45&gt;$B$22,"",IFERROR(INDEX(CALCUL!$A$4:$A$134,MATCH(ROW()-45,CALCUL!$AE$4:$AE$134,0)),""))</f>
      </c>
      <c r="B87" s="52">
        <f ca="1">IF($A87="","",IFERROR(INDEX(CALCUL!$B$4:$B$134,MATCH($A87,CALCUL!$A$4:$A$134,0)),""))</f>
      </c>
      <c r="C87" s="52">
        <f ca="1">IF($A87="","",IFERROR(INDEX(CALCUL!$C$4:$C$134,MATCH($A87,CALCUL!$A$4:$A$134,0)),""))</f>
      </c>
      <c r="D87" s="54">
        <f ca="1">IF($A87="","",IFERROR(INDEX(REFERENTIEL!$F$4:$F$134,MATCH($A87,REFERENTIEL!$E$4:$E$134,0)),""))</f>
      </c>
    </row>
    <row r="88" spans="1:4" ht="15.75" x14ac:dyDescent="0.25">
      <c r="A88" s="52">
        <f ca="1">IF(ROW()-45&gt;$B$22,"",IFERROR(INDEX(CALCUL!$A$4:$A$134,MATCH(ROW()-45,CALCUL!$AE$4:$AE$134,0)),""))</f>
      </c>
      <c r="B88" s="52">
        <f ca="1">IF($A88="","",IFERROR(INDEX(CALCUL!$B$4:$B$134,MATCH($A88,CALCUL!$A$4:$A$134,0)),""))</f>
      </c>
      <c r="C88" s="52">
        <f ca="1">IF($A88="","",IFERROR(INDEX(CALCUL!$C$4:$C$134,MATCH($A88,CALCUL!$A$4:$A$134,0)),""))</f>
      </c>
      <c r="D88" s="54">
        <f ca="1">IF($A88="","",IFERROR(INDEX(REFERENTIEL!$F$4:$F$134,MATCH($A88,REFERENTIEL!$E$4:$E$134,0)),""))</f>
      </c>
    </row>
    <row r="89" spans="1:4" ht="15.75" x14ac:dyDescent="0.25">
      <c r="A89" s="52">
        <f ca="1">IF(ROW()-45&gt;$B$22,"",IFERROR(INDEX(CALCUL!$A$4:$A$134,MATCH(ROW()-45,CALCUL!$AE$4:$AE$134,0)),""))</f>
      </c>
      <c r="B89" s="52">
        <f ca="1">IF($A89="","",IFERROR(INDEX(CALCUL!$B$4:$B$134,MATCH($A89,CALCUL!$A$4:$A$134,0)),""))</f>
      </c>
      <c r="C89" s="52">
        <f ca="1">IF($A89="","",IFERROR(INDEX(CALCUL!$C$4:$C$134,MATCH($A89,CALCUL!$A$4:$A$134,0)),""))</f>
      </c>
      <c r="D89" s="54">
        <f ca="1">IF($A89="","",IFERROR(INDEX(REFERENTIEL!$F$4:$F$134,MATCH($A89,REFERENTIEL!$E$4:$E$134,0)),""))</f>
      </c>
    </row>
    <row r="90" spans="1:4" ht="15.75" x14ac:dyDescent="0.25">
      <c r="A90" s="52">
        <f ca="1">IF(ROW()-45&gt;$B$22,"",IFERROR(INDEX(CALCUL!$A$4:$A$134,MATCH(ROW()-45,CALCUL!$AE$4:$AE$134,0)),""))</f>
      </c>
      <c r="B90" s="52">
        <f ca="1">IF($A90="","",IFERROR(INDEX(CALCUL!$B$4:$B$134,MATCH($A90,CALCUL!$A$4:$A$134,0)),""))</f>
      </c>
      <c r="C90" s="52">
        <f ca="1">IF($A90="","",IFERROR(INDEX(CALCUL!$C$4:$C$134,MATCH($A90,CALCUL!$A$4:$A$134,0)),""))</f>
      </c>
      <c r="D90" s="54">
        <f ca="1">IF($A90="","",IFERROR(INDEX(REFERENTIEL!$F$4:$F$134,MATCH($A90,REFERENTIEL!$E$4:$E$134,0)),""))</f>
      </c>
    </row>
    <row r="91" spans="1:4" ht="15.75" x14ac:dyDescent="0.25">
      <c r="A91" s="52">
        <f ca="1">IF(ROW()-45&gt;$B$22,"",IFERROR(INDEX(CALCUL!$A$4:$A$134,MATCH(ROW()-45,CALCUL!$AE$4:$AE$134,0)),""))</f>
      </c>
      <c r="B91" s="52">
        <f ca="1">IF($A91="","",IFERROR(INDEX(CALCUL!$B$4:$B$134,MATCH($A91,CALCUL!$A$4:$A$134,0)),""))</f>
      </c>
      <c r="C91" s="52">
        <f ca="1">IF($A91="","",IFERROR(INDEX(CALCUL!$C$4:$C$134,MATCH($A91,CALCUL!$A$4:$A$134,0)),""))</f>
      </c>
      <c r="D91" s="54">
        <f ca="1">IF($A91="","",IFERROR(INDEX(REFERENTIEL!$F$4:$F$134,MATCH($A91,REFERENTIEL!$E$4:$E$134,0)),""))</f>
      </c>
    </row>
    <row r="92" spans="1:4" ht="15.75" x14ac:dyDescent="0.25">
      <c r="A92" s="52">
        <f ca="1">IF(ROW()-45&gt;$B$22,"",IFERROR(INDEX(CALCUL!$A$4:$A$134,MATCH(ROW()-45,CALCUL!$AE$4:$AE$134,0)),""))</f>
      </c>
      <c r="B92" s="52">
        <f ca="1">IF($A92="","",IFERROR(INDEX(CALCUL!$B$4:$B$134,MATCH($A92,CALCUL!$A$4:$A$134,0)),""))</f>
      </c>
      <c r="C92" s="52">
        <f ca="1">IF($A92="","",IFERROR(INDEX(CALCUL!$C$4:$C$134,MATCH($A92,CALCUL!$A$4:$A$134,0)),""))</f>
      </c>
      <c r="D92" s="54">
        <f ca="1">IF($A92="","",IFERROR(INDEX(REFERENTIEL!$F$4:$F$134,MATCH($A92,REFERENTIEL!$E$4:$E$134,0)),""))</f>
      </c>
    </row>
    <row r="93" spans="1:4" ht="15.75" x14ac:dyDescent="0.25">
      <c r="A93" s="52">
        <f ca="1">IF(ROW()-45&gt;$B$22,"",IFERROR(INDEX(CALCUL!$A$4:$A$134,MATCH(ROW()-45,CALCUL!$AE$4:$AE$134,0)),""))</f>
      </c>
      <c r="B93" s="52">
        <f ca="1">IF($A93="","",IFERROR(INDEX(CALCUL!$B$4:$B$134,MATCH($A93,CALCUL!$A$4:$A$134,0)),""))</f>
      </c>
      <c r="C93" s="52">
        <f ca="1">IF($A93="","",IFERROR(INDEX(CALCUL!$C$4:$C$134,MATCH($A93,CALCUL!$A$4:$A$134,0)),""))</f>
      </c>
      <c r="D93" s="54">
        <f ca="1">IF($A93="","",IFERROR(INDEX(REFERENTIEL!$F$4:$F$134,MATCH($A93,REFERENTIEL!$E$4:$E$134,0)),""))</f>
      </c>
    </row>
    <row r="94" spans="1:4" ht="15.75" x14ac:dyDescent="0.25">
      <c r="A94" s="52">
        <f ca="1">IF(ROW()-45&gt;$B$22,"",IFERROR(INDEX(CALCUL!$A$4:$A$134,MATCH(ROW()-45,CALCUL!$AE$4:$AE$134,0)),""))</f>
      </c>
      <c r="B94" s="52">
        <f ca="1">IF($A94="","",IFERROR(INDEX(CALCUL!$B$4:$B$134,MATCH($A94,CALCUL!$A$4:$A$134,0)),""))</f>
      </c>
      <c r="C94" s="52">
        <f ca="1">IF($A94="","",IFERROR(INDEX(CALCUL!$C$4:$C$134,MATCH($A94,CALCUL!$A$4:$A$134,0)),""))</f>
      </c>
      <c r="D94" s="54">
        <f ca="1">IF($A94="","",IFERROR(INDEX(REFERENTIEL!$F$4:$F$134,MATCH($A94,REFERENTIEL!$E$4:$E$134,0)),""))</f>
      </c>
    </row>
    <row r="95" spans="1:4" ht="15.75" x14ac:dyDescent="0.25">
      <c r="A95" s="52">
        <f ca="1">IF(ROW()-45&gt;$B$22,"",IFERROR(INDEX(CALCUL!$A$4:$A$134,MATCH(ROW()-45,CALCUL!$AE$4:$AE$134,0)),""))</f>
      </c>
      <c r="B95" s="52">
        <f ca="1">IF($A95="","",IFERROR(INDEX(CALCUL!$B$4:$B$134,MATCH($A95,CALCUL!$A$4:$A$134,0)),""))</f>
      </c>
      <c r="C95" s="52">
        <f ca="1">IF($A95="","",IFERROR(INDEX(CALCUL!$C$4:$C$134,MATCH($A95,CALCUL!$A$4:$A$134,0)),""))</f>
      </c>
      <c r="D95" s="54">
        <f ca="1">IF($A95="","",IFERROR(INDEX(REFERENTIEL!$F$4:$F$134,MATCH($A95,REFERENTIEL!$E$4:$E$134,0)),""))</f>
      </c>
    </row>
    <row r="96" spans="1:4" ht="15.75" x14ac:dyDescent="0.25">
      <c r="A96" s="55">
        <f ca="1">IF($B$22&gt;50,"Et "&amp;($B$22-50)&amp;" autre(s) alerte(s) non affichée(s) : voir CALCUL, cilonne H","")</f>
      </c>
    </row>
    <row r="98" spans="1:5" ht="15.75" x14ac:dyDescent="0.25">
      <c r="A98" s="65" t="s">
        <v>560</v>
      </c>
      <c r="B98" s="65"/>
    </row>
    <row r="99" spans="1:5" ht="15.75" x14ac:dyDescent="0.25">
      <c r="A99" s="30" t="s">
        <v>558</v>
      </c>
      <c r="B99" s="31">
        <f ca="1">MAX(CALCUL!$AF$4:$AF$134)</f>
      </c>
    </row>
    <row r="100" spans="1:5" ht="15.75" x14ac:dyDescent="0.25">
      <c r="A100" s="30" t="s">
        <v>559</v>
      </c>
      <c r="B100" s="31">
        <f>CALCUL!$AF$1</f>
        <v>50</v>
      </c>
    </row>
    <row r="102" spans="1:5" ht="15.75" x14ac:dyDescent="0.25">
      <c r="A102" s="58" t="s">
        <v>517</v>
      </c>
      <c r="B102" s="58" t="s">
        <v>518</v>
      </c>
      <c r="C102" s="58" t="s">
        <v>519</v>
      </c>
      <c r="D102" s="58" t="s">
        <v>557</v>
      </c>
      <c r="E102" s="58" t="s">
        <v>561</v>
      </c>
    </row>
    <row r="103" spans="1:5" x14ac:dyDescent="0.25">
      <c r="A103" s="56">
        <f ca="1">IF(ROW()-102&gt;$B$99,"",IFERROR(INDEX(CALCUL!$A$4:$A$134,MATCH(ROW()-102,CALCUL!$AF$4:$AF$134,0)),""))</f>
      </c>
      <c r="B103" s="56">
        <f ca="1">IF($A103="","",IFERROR(INDEX(CALCUL!$B$4:$B$134,MATCH($A103,CALCUL!$A$4:$A$134,0)),""))</f>
      </c>
      <c r="C103" s="56">
        <f ca="1">IF($A103="","",IFERROR(INDEX(CALCUL!$C$4:$C$134,MATCH($A103,CALCUL!$A$4:$A$134,0)),""))</f>
      </c>
      <c r="D103" s="56">
        <f ca="1">IF($A103="","",IFERROR(INDEX(REFERENTIEL!$F$4:$F$134,MATCH($A103,REFERENTIEL!$E$4:$E$134,0)),""))</f>
      </c>
      <c r="E103" s="56">
        <f ca="1">IF($A103="","",IFERROR(INDEX(CALCUL!$G$4:$G$134,MATCH($A103,CALCUL!$A$4:$A$134,0)),""))</f>
      </c>
    </row>
    <row r="104" spans="1:5" x14ac:dyDescent="0.25">
      <c r="A104" s="56">
        <f ca="1">IF(ROW()-102&gt;$B$99,"",IFERROR(INDEX(CALCUL!$A$4:$A$134,MATCH(ROW()-102,CALCUL!$AF$4:$AF$134,0)),""))</f>
      </c>
      <c r="B104" s="56">
        <f ca="1">IF($A104="","",IFERROR(INDEX(CALCUL!$B$4:$B$134,MATCH($A104,CALCUL!$A$4:$A$134,0)),""))</f>
      </c>
      <c r="C104" s="56">
        <f ca="1">IF($A104="","",IFERROR(INDEX(CALCUL!$C$4:$C$134,MATCH($A104,CALCUL!$A$4:$A$134,0)),""))</f>
      </c>
      <c r="D104" s="56">
        <f ca="1">IF($A104="","",IFERROR(INDEX(REFERENTIEL!$F$4:$F$134,MATCH($A104,REFERENTIEL!$E$4:$E$134,0)),""))</f>
      </c>
      <c r="E104" s="56">
        <f ca="1">IF($A104="","",IFERROR(INDEX(CALCUL!$G$4:$G$134,MATCH($A104,CALCUL!$A$4:$A$134,0)),""))</f>
      </c>
    </row>
    <row r="105" spans="1:5" x14ac:dyDescent="0.25">
      <c r="A105" s="56">
        <f ca="1">IF(ROW()-102&gt;$B$99,"",IFERROR(INDEX(CALCUL!$A$4:$A$134,MATCH(ROW()-102,CALCUL!$AF$4:$AF$134,0)),""))</f>
      </c>
      <c r="B105" s="56">
        <f ca="1">IF($A105="","",IFERROR(INDEX(CALCUL!$B$4:$B$134,MATCH($A105,CALCUL!$A$4:$A$134,0)),""))</f>
      </c>
      <c r="C105" s="56">
        <f ca="1">IF($A105="","",IFERROR(INDEX(CALCUL!$C$4:$C$134,MATCH($A105,CALCUL!$A$4:$A$134,0)),""))</f>
      </c>
      <c r="D105" s="56">
        <f ca="1">IF($A105="","",IFERROR(INDEX(REFERENTIEL!$F$4:$F$134,MATCH($A105,REFERENTIEL!$E$4:$E$134,0)),""))</f>
      </c>
      <c r="E105" s="56">
        <f ca="1">IF($A105="","",IFERROR(INDEX(CALCUL!$G$4:$G$134,MATCH($A105,CALCUL!$A$4:$A$134,0)),""))</f>
      </c>
    </row>
    <row r="106" spans="1:5" x14ac:dyDescent="0.25">
      <c r="A106" s="56">
        <f ca="1">IF(ROW()-102&gt;$B$99,"",IFERROR(INDEX(CALCUL!$A$4:$A$134,MATCH(ROW()-102,CALCUL!$AF$4:$AF$134,0)),""))</f>
      </c>
      <c r="B106" s="56">
        <f ca="1">IF($A106="","",IFERROR(INDEX(CALCUL!$B$4:$B$134,MATCH($A106,CALCUL!$A$4:$A$134,0)),""))</f>
      </c>
      <c r="C106" s="56">
        <f ca="1">IF($A106="","",IFERROR(INDEX(CALCUL!$C$4:$C$134,MATCH($A106,CALCUL!$A$4:$A$134,0)),""))</f>
      </c>
      <c r="D106" s="56">
        <f ca="1">IF($A106="","",IFERROR(INDEX(REFERENTIEL!$F$4:$F$134,MATCH($A106,REFERENTIEL!$E$4:$E$134,0)),""))</f>
      </c>
      <c r="E106" s="56">
        <f ca="1">IF($A106="","",IFERROR(INDEX(CALCUL!$G$4:$G$134,MATCH($A106,CALCUL!$A$4:$A$134,0)),""))</f>
      </c>
    </row>
    <row r="107" spans="1:5" x14ac:dyDescent="0.25">
      <c r="A107" s="56">
        <f ca="1">IF(ROW()-102&gt;$B$99,"",IFERROR(INDEX(CALCUL!$A$4:$A$134,MATCH(ROW()-102,CALCUL!$AF$4:$AF$134,0)),""))</f>
      </c>
      <c r="B107" s="56">
        <f ca="1">IF($A107="","",IFERROR(INDEX(CALCUL!$B$4:$B$134,MATCH($A107,CALCUL!$A$4:$A$134,0)),""))</f>
      </c>
      <c r="C107" s="56">
        <f ca="1">IF($A107="","",IFERROR(INDEX(CALCUL!$C$4:$C$134,MATCH($A107,CALCUL!$A$4:$A$134,0)),""))</f>
      </c>
      <c r="D107" s="56">
        <f ca="1">IF($A107="","",IFERROR(INDEX(REFERENTIEL!$F$4:$F$134,MATCH($A107,REFERENTIEL!$E$4:$E$134,0)),""))</f>
      </c>
      <c r="E107" s="56">
        <f ca="1">IF($A107="","",IFERROR(INDEX(CALCUL!$G$4:$G$134,MATCH($A107,CALCUL!$A$4:$A$134,0)),""))</f>
      </c>
    </row>
    <row r="108" spans="1:5" x14ac:dyDescent="0.25">
      <c r="A108" s="56">
        <f ca="1">IF(ROW()-102&gt;$B$99,"",IFERROR(INDEX(CALCUL!$A$4:$A$134,MATCH(ROW()-102,CALCUL!$AF$4:$AF$134,0)),""))</f>
      </c>
      <c r="B108" s="56">
        <f ca="1">IF($A108="","",IFERROR(INDEX(CALCUL!$B$4:$B$134,MATCH($A108,CALCUL!$A$4:$A$134,0)),""))</f>
      </c>
      <c r="C108" s="56">
        <f ca="1">IF($A108="","",IFERROR(INDEX(CALCUL!$C$4:$C$134,MATCH($A108,CALCUL!$A$4:$A$134,0)),""))</f>
      </c>
      <c r="D108" s="56">
        <f ca="1">IF($A108="","",IFERROR(INDEX(REFERENTIEL!$F$4:$F$134,MATCH($A108,REFERENTIEL!$E$4:$E$134,0)),""))</f>
      </c>
      <c r="E108" s="56">
        <f ca="1">IF($A108="","",IFERROR(INDEX(CALCUL!$G$4:$G$134,MATCH($A108,CALCUL!$A$4:$A$134,0)),""))</f>
      </c>
    </row>
    <row r="109" spans="1:5" x14ac:dyDescent="0.25">
      <c r="A109" s="56">
        <f ca="1">IF(ROW()-102&gt;$B$99,"",IFERROR(INDEX(CALCUL!$A$4:$A$134,MATCH(ROW()-102,CALCUL!$AF$4:$AF$134,0)),""))</f>
      </c>
      <c r="B109" s="56">
        <f ca="1">IF($A109="","",IFERROR(INDEX(CALCUL!$B$4:$B$134,MATCH($A109,CALCUL!$A$4:$A$134,0)),""))</f>
      </c>
      <c r="C109" s="56">
        <f ca="1">IF($A109="","",IFERROR(INDEX(CALCUL!$C$4:$C$134,MATCH($A109,CALCUL!$A$4:$A$134,0)),""))</f>
      </c>
      <c r="D109" s="56">
        <f ca="1">IF($A109="","",IFERROR(INDEX(REFERENTIEL!$F$4:$F$134,MATCH($A109,REFERENTIEL!$E$4:$E$134,0)),""))</f>
      </c>
      <c r="E109" s="56">
        <f ca="1">IF($A109="","",IFERROR(INDEX(CALCUL!$G$4:$G$134,MATCH($A109,CALCUL!$A$4:$A$134,0)),""))</f>
      </c>
    </row>
    <row r="110" spans="1:5" x14ac:dyDescent="0.25">
      <c r="A110" s="56">
        <f ca="1">IF(ROW()-102&gt;$B$99,"",IFERROR(INDEX(CALCUL!$A$4:$A$134,MATCH(ROW()-102,CALCUL!$AF$4:$AF$134,0)),""))</f>
      </c>
      <c r="B110" s="56">
        <f ca="1">IF($A110="","",IFERROR(INDEX(CALCUL!$B$4:$B$134,MATCH($A110,CALCUL!$A$4:$A$134,0)),""))</f>
      </c>
      <c r="C110" s="56">
        <f ca="1">IF($A110="","",IFERROR(INDEX(CALCUL!$C$4:$C$134,MATCH($A110,CALCUL!$A$4:$A$134,0)),""))</f>
      </c>
      <c r="D110" s="56">
        <f ca="1">IF($A110="","",IFERROR(INDEX(REFERENTIEL!$F$4:$F$134,MATCH($A110,REFERENTIEL!$E$4:$E$134,0)),""))</f>
      </c>
      <c r="E110" s="56">
        <f ca="1">IF($A110="","",IFERROR(INDEX(CALCUL!$G$4:$G$134,MATCH($A110,CALCUL!$A$4:$A$134,0)),""))</f>
      </c>
    </row>
    <row r="111" spans="1:5" x14ac:dyDescent="0.25">
      <c r="A111" s="56">
        <f ca="1">IF(ROW()-102&gt;$B$99,"",IFERROR(INDEX(CALCUL!$A$4:$A$134,MATCH(ROW()-102,CALCUL!$AF$4:$AF$134,0)),""))</f>
      </c>
      <c r="B111" s="56">
        <f ca="1">IF($A111="","",IFERROR(INDEX(CALCUL!$B$4:$B$134,MATCH($A111,CALCUL!$A$4:$A$134,0)),""))</f>
      </c>
      <c r="C111" s="56">
        <f ca="1">IF($A111="","",IFERROR(INDEX(CALCUL!$C$4:$C$134,MATCH($A111,CALCUL!$A$4:$A$134,0)),""))</f>
      </c>
      <c r="D111" s="56">
        <f ca="1">IF($A111="","",IFERROR(INDEX(REFERENTIEL!$F$4:$F$134,MATCH($A111,REFERENTIEL!$E$4:$E$134,0)),""))</f>
      </c>
      <c r="E111" s="56">
        <f ca="1">IF($A111="","",IFERROR(INDEX(CALCUL!$G$4:$G$134,MATCH($A111,CALCUL!$A$4:$A$134,0)),""))</f>
      </c>
    </row>
    <row r="112" spans="1:5" x14ac:dyDescent="0.25">
      <c r="A112" s="56">
        <f ca="1">IF(ROW()-102&gt;$B$99,"",IFERROR(INDEX(CALCUL!$A$4:$A$134,MATCH(ROW()-102,CALCUL!$AF$4:$AF$134,0)),""))</f>
      </c>
      <c r="B112" s="56">
        <f ca="1">IF($A112="","",IFERROR(INDEX(CALCUL!$B$4:$B$134,MATCH($A112,CALCUL!$A$4:$A$134,0)),""))</f>
      </c>
      <c r="C112" s="56">
        <f ca="1">IF($A112="","",IFERROR(INDEX(CALCUL!$C$4:$C$134,MATCH($A112,CALCUL!$A$4:$A$134,0)),""))</f>
      </c>
      <c r="D112" s="56">
        <f ca="1">IF($A112="","",IFERROR(INDEX(REFERENTIEL!$F$4:$F$134,MATCH($A112,REFERENTIEL!$E$4:$E$134,0)),""))</f>
      </c>
      <c r="E112" s="56">
        <f ca="1">IF($A112="","",IFERROR(INDEX(CALCUL!$G$4:$G$134,MATCH($A112,CALCUL!$A$4:$A$134,0)),""))</f>
      </c>
    </row>
    <row r="113" spans="1:5" x14ac:dyDescent="0.25">
      <c r="A113" s="56">
        <f ca="1">IF(ROW()-102&gt;$B$99,"",IFERROR(INDEX(CALCUL!$A$4:$A$134,MATCH(ROW()-102,CALCUL!$AF$4:$AF$134,0)),""))</f>
      </c>
      <c r="B113" s="56">
        <f ca="1">IF($A113="","",IFERROR(INDEX(CALCUL!$B$4:$B$134,MATCH($A113,CALCUL!$A$4:$A$134,0)),""))</f>
      </c>
      <c r="C113" s="56">
        <f ca="1">IF($A113="","",IFERROR(INDEX(CALCUL!$C$4:$C$134,MATCH($A113,CALCUL!$A$4:$A$134,0)),""))</f>
      </c>
      <c r="D113" s="56">
        <f ca="1">IF($A113="","",IFERROR(INDEX(REFERENTIEL!$F$4:$F$134,MATCH($A113,REFERENTIEL!$E$4:$E$134,0)),""))</f>
      </c>
      <c r="E113" s="56">
        <f ca="1">IF($A113="","",IFERROR(INDEX(CALCUL!$G$4:$G$134,MATCH($A113,CALCUL!$A$4:$A$134,0)),""))</f>
      </c>
    </row>
    <row r="114" spans="1:5" x14ac:dyDescent="0.25">
      <c r="A114" s="56">
        <f ca="1">IF(ROW()-102&gt;$B$99,"",IFERROR(INDEX(CALCUL!$A$4:$A$134,MATCH(ROW()-102,CALCUL!$AF$4:$AF$134,0)),""))</f>
      </c>
      <c r="B114" s="56">
        <f ca="1">IF($A114="","",IFERROR(INDEX(CALCUL!$B$4:$B$134,MATCH($A114,CALCUL!$A$4:$A$134,0)),""))</f>
      </c>
      <c r="C114" s="56">
        <f ca="1">IF($A114="","",IFERROR(INDEX(CALCUL!$C$4:$C$134,MATCH($A114,CALCUL!$A$4:$A$134,0)),""))</f>
      </c>
      <c r="D114" s="56">
        <f ca="1">IF($A114="","",IFERROR(INDEX(REFERENTIEL!$F$4:$F$134,MATCH($A114,REFERENTIEL!$E$4:$E$134,0)),""))</f>
      </c>
      <c r="E114" s="56">
        <f ca="1">IF($A114="","",IFERROR(INDEX(CALCUL!$G$4:$G$134,MATCH($A114,CALCUL!$A$4:$A$134,0)),""))</f>
      </c>
    </row>
    <row r="115" spans="1:5" x14ac:dyDescent="0.25">
      <c r="A115" s="56">
        <f ca="1">IF(ROW()-102&gt;$B$99,"",IFERROR(INDEX(CALCUL!$A$4:$A$134,MATCH(ROW()-102,CALCUL!$AF$4:$AF$134,0)),""))</f>
      </c>
      <c r="B115" s="56">
        <f ca="1">IF($A115="","",IFERROR(INDEX(CALCUL!$B$4:$B$134,MATCH($A115,CALCUL!$A$4:$A$134,0)),""))</f>
      </c>
      <c r="C115" s="56">
        <f ca="1">IF($A115="","",IFERROR(INDEX(CALCUL!$C$4:$C$134,MATCH($A115,CALCUL!$A$4:$A$134,0)),""))</f>
      </c>
      <c r="D115" s="56">
        <f ca="1">IF($A115="","",IFERROR(INDEX(REFERENTIEL!$F$4:$F$134,MATCH($A115,REFERENTIEL!$E$4:$E$134,0)),""))</f>
      </c>
      <c r="E115" s="56">
        <f ca="1">IF($A115="","",IFERROR(INDEX(CALCUL!$G$4:$G$134,MATCH($A115,CALCUL!$A$4:$A$134,0)),""))</f>
      </c>
    </row>
    <row r="116" spans="1:5" x14ac:dyDescent="0.25">
      <c r="A116" s="56">
        <f ca="1">IF(ROW()-102&gt;$B$99,"",IFERROR(INDEX(CALCUL!$A$4:$A$134,MATCH(ROW()-102,CALCUL!$AF$4:$AF$134,0)),""))</f>
      </c>
      <c r="B116" s="56">
        <f ca="1">IF($A116="","",IFERROR(INDEX(CALCUL!$B$4:$B$134,MATCH($A116,CALCUL!$A$4:$A$134,0)),""))</f>
      </c>
      <c r="C116" s="56">
        <f ca="1">IF($A116="","",IFERROR(INDEX(CALCUL!$C$4:$C$134,MATCH($A116,CALCUL!$A$4:$A$134,0)),""))</f>
      </c>
      <c r="D116" s="56">
        <f ca="1">IF($A116="","",IFERROR(INDEX(REFERENTIEL!$F$4:$F$134,MATCH($A116,REFERENTIEL!$E$4:$E$134,0)),""))</f>
      </c>
      <c r="E116" s="56">
        <f ca="1">IF($A116="","",IFERROR(INDEX(CALCUL!$G$4:$G$134,MATCH($A116,CALCUL!$A$4:$A$134,0)),""))</f>
      </c>
    </row>
    <row r="117" spans="1:5" x14ac:dyDescent="0.25">
      <c r="A117" s="56">
        <f ca="1">IF(ROW()-102&gt;$B$99,"",IFERROR(INDEX(CALCUL!$A$4:$A$134,MATCH(ROW()-102,CALCUL!$AF$4:$AF$134,0)),""))</f>
      </c>
      <c r="B117" s="56">
        <f ca="1">IF($A117="","",IFERROR(INDEX(CALCUL!$B$4:$B$134,MATCH($A117,CALCUL!$A$4:$A$134,0)),""))</f>
      </c>
      <c r="C117" s="56">
        <f ca="1">IF($A117="","",IFERROR(INDEX(CALCUL!$C$4:$C$134,MATCH($A117,CALCUL!$A$4:$A$134,0)),""))</f>
      </c>
      <c r="D117" s="56">
        <f ca="1">IF($A117="","",IFERROR(INDEX(REFERENTIEL!$F$4:$F$134,MATCH($A117,REFERENTIEL!$E$4:$E$134,0)),""))</f>
      </c>
      <c r="E117" s="56">
        <f ca="1">IF($A117="","",IFERROR(INDEX(CALCUL!$G$4:$G$134,MATCH($A117,CALCUL!$A$4:$A$134,0)),""))</f>
      </c>
    </row>
    <row r="118" spans="1:5" x14ac:dyDescent="0.25">
      <c r="A118" s="56">
        <f ca="1">IF(ROW()-102&gt;$B$99,"",IFERROR(INDEX(CALCUL!$A$4:$A$134,MATCH(ROW()-102,CALCUL!$AF$4:$AF$134,0)),""))</f>
      </c>
      <c r="B118" s="56">
        <f ca="1">IF($A118="","",IFERROR(INDEX(CALCUL!$B$4:$B$134,MATCH($A118,CALCUL!$A$4:$A$134,0)),""))</f>
      </c>
      <c r="C118" s="56">
        <f ca="1">IF($A118="","",IFERROR(INDEX(CALCUL!$C$4:$C$134,MATCH($A118,CALCUL!$A$4:$A$134,0)),""))</f>
      </c>
      <c r="D118" s="56">
        <f ca="1">IF($A118="","",IFERROR(INDEX(REFERENTIEL!$F$4:$F$134,MATCH($A118,REFERENTIEL!$E$4:$E$134,0)),""))</f>
      </c>
      <c r="E118" s="56">
        <f ca="1">IF($A118="","",IFERROR(INDEX(CALCUL!$G$4:$G$134,MATCH($A118,CALCUL!$A$4:$A$134,0)),""))</f>
      </c>
    </row>
    <row r="119" spans="1:5" x14ac:dyDescent="0.25">
      <c r="A119" s="56">
        <f ca="1">IF(ROW()-102&gt;$B$99,"",IFERROR(INDEX(CALCUL!$A$4:$A$134,MATCH(ROW()-102,CALCUL!$AF$4:$AF$134,0)),""))</f>
      </c>
      <c r="B119" s="56">
        <f ca="1">IF($A119="","",IFERROR(INDEX(CALCUL!$B$4:$B$134,MATCH($A119,CALCUL!$A$4:$A$134,0)),""))</f>
      </c>
      <c r="C119" s="56">
        <f ca="1">IF($A119="","",IFERROR(INDEX(CALCUL!$C$4:$C$134,MATCH($A119,CALCUL!$A$4:$A$134,0)),""))</f>
      </c>
      <c r="D119" s="56">
        <f ca="1">IF($A119="","",IFERROR(INDEX(REFERENTIEL!$F$4:$F$134,MATCH($A119,REFERENTIEL!$E$4:$E$134,0)),""))</f>
      </c>
      <c r="E119" s="56">
        <f ca="1">IF($A119="","",IFERROR(INDEX(CALCUL!$G$4:$G$134,MATCH($A119,CALCUL!$A$4:$A$134,0)),""))</f>
      </c>
    </row>
    <row r="120" spans="1:5" x14ac:dyDescent="0.25">
      <c r="A120" s="56">
        <f ca="1">IF(ROW()-102&gt;$B$99,"",IFERROR(INDEX(CALCUL!$A$4:$A$134,MATCH(ROW()-102,CALCUL!$AF$4:$AF$134,0)),""))</f>
      </c>
      <c r="B120" s="56">
        <f ca="1">IF($A120="","",IFERROR(INDEX(CALCUL!$B$4:$B$134,MATCH($A120,CALCUL!$A$4:$A$134,0)),""))</f>
      </c>
      <c r="C120" s="56">
        <f ca="1">IF($A120="","",IFERROR(INDEX(CALCUL!$C$4:$C$134,MATCH($A120,CALCUL!$A$4:$A$134,0)),""))</f>
      </c>
      <c r="D120" s="56">
        <f ca="1">IF($A120="","",IFERROR(INDEX(REFERENTIEL!$F$4:$F$134,MATCH($A120,REFERENTIEL!$E$4:$E$134,0)),""))</f>
      </c>
      <c r="E120" s="56">
        <f ca="1">IF($A120="","",IFERROR(INDEX(CALCUL!$G$4:$G$134,MATCH($A120,CALCUL!$A$4:$A$134,0)),""))</f>
      </c>
    </row>
    <row r="121" spans="1:5" x14ac:dyDescent="0.25">
      <c r="A121" s="56">
        <f ca="1">IF(ROW()-102&gt;$B$99,"",IFERROR(INDEX(CALCUL!$A$4:$A$134,MATCH(ROW()-102,CALCUL!$AF$4:$AF$134,0)),""))</f>
      </c>
      <c r="B121" s="56">
        <f ca="1">IF($A121="","",IFERROR(INDEX(CALCUL!$B$4:$B$134,MATCH($A121,CALCUL!$A$4:$A$134,0)),""))</f>
      </c>
      <c r="C121" s="56">
        <f ca="1">IF($A121="","",IFERROR(INDEX(CALCUL!$C$4:$C$134,MATCH($A121,CALCUL!$A$4:$A$134,0)),""))</f>
      </c>
      <c r="D121" s="56">
        <f ca="1">IF($A121="","",IFERROR(INDEX(REFERENTIEL!$F$4:$F$134,MATCH($A121,REFERENTIEL!$E$4:$E$134,0)),""))</f>
      </c>
      <c r="E121" s="56">
        <f ca="1">IF($A121="","",IFERROR(INDEX(CALCUL!$G$4:$G$134,MATCH($A121,CALCUL!$A$4:$A$134,0)),""))</f>
      </c>
    </row>
    <row r="122" spans="1:5" x14ac:dyDescent="0.25">
      <c r="A122" s="56">
        <f ca="1">IF(ROW()-102&gt;$B$99,"",IFERROR(INDEX(CALCUL!$A$4:$A$134,MATCH(ROW()-102,CALCUL!$AF$4:$AF$134,0)),""))</f>
      </c>
      <c r="B122" s="56">
        <f ca="1">IF($A122="","",IFERROR(INDEX(CALCUL!$B$4:$B$134,MATCH($A122,CALCUL!$A$4:$A$134,0)),""))</f>
      </c>
      <c r="C122" s="56">
        <f ca="1">IF($A122="","",IFERROR(INDEX(CALCUL!$C$4:$C$134,MATCH($A122,CALCUL!$A$4:$A$134,0)),""))</f>
      </c>
      <c r="D122" s="56">
        <f ca="1">IF($A122="","",IFERROR(INDEX(REFERENTIEL!$F$4:$F$134,MATCH($A122,REFERENTIEL!$E$4:$E$134,0)),""))</f>
      </c>
      <c r="E122" s="56">
        <f ca="1">IF($A122="","",IFERROR(INDEX(CALCUL!$G$4:$G$134,MATCH($A122,CALCUL!$A$4:$A$134,0)),""))</f>
      </c>
    </row>
    <row r="123" spans="1:5" x14ac:dyDescent="0.25">
      <c r="A123" s="56">
        <f ca="1">IF(ROW()-102&gt;$B$99,"",IFERROR(INDEX(CALCUL!$A$4:$A$134,MATCH(ROW()-102,CALCUL!$AF$4:$AF$134,0)),""))</f>
      </c>
      <c r="B123" s="56">
        <f ca="1">IF($A123="","",IFERROR(INDEX(CALCUL!$B$4:$B$134,MATCH($A123,CALCUL!$A$4:$A$134,0)),""))</f>
      </c>
      <c r="C123" s="56">
        <f ca="1">IF($A123="","",IFERROR(INDEX(CALCUL!$C$4:$C$134,MATCH($A123,CALCUL!$A$4:$A$134,0)),""))</f>
      </c>
      <c r="D123" s="56">
        <f ca="1">IF($A123="","",IFERROR(INDEX(REFERENTIEL!$F$4:$F$134,MATCH($A123,REFERENTIEL!$E$4:$E$134,0)),""))</f>
      </c>
      <c r="E123" s="56">
        <f ca="1">IF($A123="","",IFERROR(INDEX(CALCUL!$G$4:$G$134,MATCH($A123,CALCUL!$A$4:$A$134,0)),""))</f>
      </c>
    </row>
    <row r="124" spans="1:5" x14ac:dyDescent="0.25">
      <c r="A124" s="56">
        <f ca="1">IF(ROW()-102&gt;$B$99,"",IFERROR(INDEX(CALCUL!$A$4:$A$134,MATCH(ROW()-102,CALCUL!$AF$4:$AF$134,0)),""))</f>
      </c>
      <c r="B124" s="56">
        <f ca="1">IF($A124="","",IFERROR(INDEX(CALCUL!$B$4:$B$134,MATCH($A124,CALCUL!$A$4:$A$134,0)),""))</f>
      </c>
      <c r="C124" s="56">
        <f ca="1">IF($A124="","",IFERROR(INDEX(CALCUL!$C$4:$C$134,MATCH($A124,CALCUL!$A$4:$A$134,0)),""))</f>
      </c>
      <c r="D124" s="56">
        <f ca="1">IF($A124="","",IFERROR(INDEX(REFERENTIEL!$F$4:$F$134,MATCH($A124,REFERENTIEL!$E$4:$E$134,0)),""))</f>
      </c>
      <c r="E124" s="56">
        <f ca="1">IF($A124="","",IFERROR(INDEX(CALCUL!$G$4:$G$134,MATCH($A124,CALCUL!$A$4:$A$134,0)),""))</f>
      </c>
    </row>
    <row r="125" spans="1:5" x14ac:dyDescent="0.25">
      <c r="A125" s="56">
        <f ca="1">IF(ROW()-102&gt;$B$99,"",IFERROR(INDEX(CALCUL!$A$4:$A$134,MATCH(ROW()-102,CALCUL!$AF$4:$AF$134,0)),""))</f>
      </c>
      <c r="B125" s="56">
        <f ca="1">IF($A125="","",IFERROR(INDEX(CALCUL!$B$4:$B$134,MATCH($A125,CALCUL!$A$4:$A$134,0)),""))</f>
      </c>
      <c r="C125" s="56">
        <f ca="1">IF($A125="","",IFERROR(INDEX(CALCUL!$C$4:$C$134,MATCH($A125,CALCUL!$A$4:$A$134,0)),""))</f>
      </c>
      <c r="D125" s="56">
        <f ca="1">IF($A125="","",IFERROR(INDEX(REFERENTIEL!$F$4:$F$134,MATCH($A125,REFERENTIEL!$E$4:$E$134,0)),""))</f>
      </c>
      <c r="E125" s="56">
        <f ca="1">IF($A125="","",IFERROR(INDEX(CALCUL!$G$4:$G$134,MATCH($A125,CALCUL!$A$4:$A$134,0)),""))</f>
      </c>
    </row>
    <row r="126" spans="1:5" x14ac:dyDescent="0.25">
      <c r="A126" s="56">
        <f ca="1">IF(ROW()-102&gt;$B$99,"",IFERROR(INDEX(CALCUL!$A$4:$A$134,MATCH(ROW()-102,CALCUL!$AF$4:$AF$134,0)),""))</f>
      </c>
      <c r="B126" s="56">
        <f ca="1">IF($A126="","",IFERROR(INDEX(CALCUL!$B$4:$B$134,MATCH($A126,CALCUL!$A$4:$A$134,0)),""))</f>
      </c>
      <c r="C126" s="56">
        <f ca="1">IF($A126="","",IFERROR(INDEX(CALCUL!$C$4:$C$134,MATCH($A126,CALCUL!$A$4:$A$134,0)),""))</f>
      </c>
      <c r="D126" s="56">
        <f ca="1">IF($A126="","",IFERROR(INDEX(REFERENTIEL!$F$4:$F$134,MATCH($A126,REFERENTIEL!$E$4:$E$134,0)),""))</f>
      </c>
      <c r="E126" s="56">
        <f ca="1">IF($A126="","",IFERROR(INDEX(CALCUL!$G$4:$G$134,MATCH($A126,CALCUL!$A$4:$A$134,0)),""))</f>
      </c>
    </row>
    <row r="127" spans="1:5" x14ac:dyDescent="0.25">
      <c r="A127" s="56">
        <f ca="1">IF(ROW()-102&gt;$B$99,"",IFERROR(INDEX(CALCUL!$A$4:$A$134,MATCH(ROW()-102,CALCUL!$AF$4:$AF$134,0)),""))</f>
      </c>
      <c r="B127" s="56">
        <f ca="1">IF($A127="","",IFERROR(INDEX(CALCUL!$B$4:$B$134,MATCH($A127,CALCUL!$A$4:$A$134,0)),""))</f>
      </c>
      <c r="C127" s="56">
        <f ca="1">IF($A127="","",IFERROR(INDEX(CALCUL!$C$4:$C$134,MATCH($A127,CALCUL!$A$4:$A$134,0)),""))</f>
      </c>
      <c r="D127" s="56">
        <f ca="1">IF($A127="","",IFERROR(INDEX(REFERENTIEL!$F$4:$F$134,MATCH($A127,REFERENTIEL!$E$4:$E$134,0)),""))</f>
      </c>
      <c r="E127" s="56">
        <f ca="1">IF($A127="","",IFERROR(INDEX(CALCUL!$G$4:$G$134,MATCH($A127,CALCUL!$A$4:$A$134,0)),""))</f>
      </c>
    </row>
    <row r="128" spans="1:5" x14ac:dyDescent="0.25">
      <c r="A128" s="56">
        <f ca="1">IF(ROW()-102&gt;$B$99,"",IFERROR(INDEX(CALCUL!$A$4:$A$134,MATCH(ROW()-102,CALCUL!$AF$4:$AF$134,0)),""))</f>
      </c>
      <c r="B128" s="56">
        <f ca="1">IF($A128="","",IFERROR(INDEX(CALCUL!$B$4:$B$134,MATCH($A128,CALCUL!$A$4:$A$134,0)),""))</f>
      </c>
      <c r="C128" s="56">
        <f ca="1">IF($A128="","",IFERROR(INDEX(CALCUL!$C$4:$C$134,MATCH($A128,CALCUL!$A$4:$A$134,0)),""))</f>
      </c>
      <c r="D128" s="56">
        <f ca="1">IF($A128="","",IFERROR(INDEX(REFERENTIEL!$F$4:$F$134,MATCH($A128,REFERENTIEL!$E$4:$E$134,0)),""))</f>
      </c>
      <c r="E128" s="56">
        <f ca="1">IF($A128="","",IFERROR(INDEX(CALCUL!$G$4:$G$134,MATCH($A128,CALCUL!$A$4:$A$134,0)),""))</f>
      </c>
    </row>
    <row r="129" spans="1:5" x14ac:dyDescent="0.25">
      <c r="A129" s="56">
        <f ca="1">IF(ROW()-102&gt;$B$99,"",IFERROR(INDEX(CALCUL!$A$4:$A$134,MATCH(ROW()-102,CALCUL!$AF$4:$AF$134,0)),""))</f>
      </c>
      <c r="B129" s="56">
        <f ca="1">IF($A129="","",IFERROR(INDEX(CALCUL!$B$4:$B$134,MATCH($A129,CALCUL!$A$4:$A$134,0)),""))</f>
      </c>
      <c r="C129" s="56">
        <f ca="1">IF($A129="","",IFERROR(INDEX(CALCUL!$C$4:$C$134,MATCH($A129,CALCUL!$A$4:$A$134,0)),""))</f>
      </c>
      <c r="D129" s="56">
        <f ca="1">IF($A129="","",IFERROR(INDEX(REFERENTIEL!$F$4:$F$134,MATCH($A129,REFERENTIEL!$E$4:$E$134,0)),""))</f>
      </c>
      <c r="E129" s="56">
        <f ca="1">IF($A129="","",IFERROR(INDEX(CALCUL!$G$4:$G$134,MATCH($A129,CALCUL!$A$4:$A$134,0)),""))</f>
      </c>
    </row>
    <row r="130" spans="1:5" x14ac:dyDescent="0.25">
      <c r="A130" s="56">
        <f ca="1">IF(ROW()-102&gt;$B$99,"",IFERROR(INDEX(CALCUL!$A$4:$A$134,MATCH(ROW()-102,CALCUL!$AF$4:$AF$134,0)),""))</f>
      </c>
      <c r="B130" s="56">
        <f ca="1">IF($A130="","",IFERROR(INDEX(CALCUL!$B$4:$B$134,MATCH($A130,CALCUL!$A$4:$A$134,0)),""))</f>
      </c>
      <c r="C130" s="56">
        <f ca="1">IF($A130="","",IFERROR(INDEX(CALCUL!$C$4:$C$134,MATCH($A130,CALCUL!$A$4:$A$134,0)),""))</f>
      </c>
      <c r="D130" s="56">
        <f ca="1">IF($A130="","",IFERROR(INDEX(REFERENTIEL!$F$4:$F$134,MATCH($A130,REFERENTIEL!$E$4:$E$134,0)),""))</f>
      </c>
      <c r="E130" s="56">
        <f ca="1">IF($A130="","",IFERROR(INDEX(CALCUL!$G$4:$G$134,MATCH($A130,CALCUL!$A$4:$A$134,0)),""))</f>
      </c>
    </row>
    <row r="131" spans="1:5" x14ac:dyDescent="0.25">
      <c r="A131" s="56">
        <f ca="1">IF(ROW()-102&gt;$B$99,"",IFERROR(INDEX(CALCUL!$A$4:$A$134,MATCH(ROW()-102,CALCUL!$AF$4:$AF$134,0)),""))</f>
      </c>
      <c r="B131" s="56">
        <f ca="1">IF($A131="","",IFERROR(INDEX(CALCUL!$B$4:$B$134,MATCH($A131,CALCUL!$A$4:$A$134,0)),""))</f>
      </c>
      <c r="C131" s="56">
        <f ca="1">IF($A131="","",IFERROR(INDEX(CALCUL!$C$4:$C$134,MATCH($A131,CALCUL!$A$4:$A$134,0)),""))</f>
      </c>
      <c r="D131" s="56">
        <f ca="1">IF($A131="","",IFERROR(INDEX(REFERENTIEL!$F$4:$F$134,MATCH($A131,REFERENTIEL!$E$4:$E$134,0)),""))</f>
      </c>
      <c r="E131" s="56">
        <f ca="1">IF($A131="","",IFERROR(INDEX(CALCUL!$G$4:$G$134,MATCH($A131,CALCUL!$A$4:$A$134,0)),""))</f>
      </c>
    </row>
    <row r="132" spans="1:5" x14ac:dyDescent="0.25">
      <c r="A132" s="56">
        <f ca="1">IF(ROW()-102&gt;$B$99,"",IFERROR(INDEX(CALCUL!$A$4:$A$134,MATCH(ROW()-102,CALCUL!$AF$4:$AF$134,0)),""))</f>
      </c>
      <c r="B132" s="56">
        <f ca="1">IF($A132="","",IFERROR(INDEX(CALCUL!$B$4:$B$134,MATCH($A132,CALCUL!$A$4:$A$134,0)),""))</f>
      </c>
      <c r="C132" s="56">
        <f ca="1">IF($A132="","",IFERROR(INDEX(CALCUL!$C$4:$C$134,MATCH($A132,CALCUL!$A$4:$A$134,0)),""))</f>
      </c>
      <c r="D132" s="56">
        <f ca="1">IF($A132="","",IFERROR(INDEX(REFERENTIEL!$F$4:$F$134,MATCH($A132,REFERENTIEL!$E$4:$E$134,0)),""))</f>
      </c>
      <c r="E132" s="56">
        <f ca="1">IF($A132="","",IFERROR(INDEX(CALCUL!$G$4:$G$134,MATCH($A132,CALCUL!$A$4:$A$134,0)),""))</f>
      </c>
    </row>
    <row r="133" spans="1:5" x14ac:dyDescent="0.25">
      <c r="A133" s="53">
        <f ca="1">IF($B$99&gt;30,"ET "&amp;($B$99-30)&amp;" autre(s) sous-indicateur(s) faible(s) : voir CALCUL, colonne AF","")</f>
      </c>
    </row>
  </sheetData>
  <sheetProtection algorithmName="SHA-512" hashValue="CXSzsVdKXFrhummEQ0FYTmwNTP7jiwEB92FHrp4o1kZbYjB4R8uxrSeoG97XxdGha/S0/SKxEM0qgY/FXaixFA==" saltValue="Yf/WxNUTnv0fjxlvLcWy8g==" spinCount="100000" sheet="1" objects="1" scenarios="1"/>
  <mergeCells count="8">
    <mergeCell ref="A37:E37"/>
    <mergeCell ref="A44:D44"/>
    <mergeCell ref="A98:B98"/>
    <mergeCell ref="A1:F1"/>
    <mergeCell ref="A21:B21"/>
    <mergeCell ref="A14:B14"/>
    <mergeCell ref="A3:B3"/>
    <mergeCell ref="A29:F29"/>
  </mergeCells>
  <conditionalFormatting sqref="B31:B34">
    <cfRule type="expression" dxfId="9" priority="1">
      <formula>ISNUMBER(B31)*(1-(B31&lt;80))</formula>
    </cfRule>
    <cfRule type="expression" dxfId="8" priority="2">
      <formula>ISNUMBER(B31)*((B31&lt;80)-(B31&lt;60))</formula>
    </cfRule>
    <cfRule type="expression" dxfId="7" priority="3">
      <formula>ISNUMBER(B31)*((B31&lt;60)-(B31&lt;40))</formula>
    </cfRule>
    <cfRule type="expression" dxfId="6" priority="4">
      <formula>ISNUMBER(B31)*((B31&lt;40)-(B31&lt;20))</formula>
    </cfRule>
    <cfRule type="expression" dxfId="5" priority="5">
      <formula>ISNUMBER(B31)*(B31&lt;20)</formula>
    </cfRule>
  </conditionalFormatting>
  <conditionalFormatting sqref="B39:E42">
    <cfRule type="expression" dxfId="4" priority="6">
      <formula>ISNUMBER(B39)*(1-(B39&lt;80))</formula>
    </cfRule>
    <cfRule type="expression" dxfId="3" priority="7">
      <formula>ISNUMBER(B39)*((B39&lt;80)-(B39&lt;60))</formula>
    </cfRule>
    <cfRule type="expression" dxfId="2" priority="8">
      <formula>ISNUMBER(B39)*((B39&lt;60)-(B39&lt;40))</formula>
    </cfRule>
    <cfRule type="expression" dxfId="1" priority="9">
      <formula>ISNUMBER(B39)*((B39&lt;40)-(B39&lt;20))</formula>
    </cfRule>
    <cfRule type="expression" dxfId="0" priority="10">
      <formula>ISNUMBER(B39)*(B39&lt;20)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2985-6A1D-4535-9506-FB46E86ED1C5}">
  <dimension ref="A1:S500"/>
  <sheetViews>
    <sheetView topLeftCell="A3" workbookViewId="0">
      <selection activeCell="G23" sqref="G23:G24"/>
    </sheetView>
  </sheetViews>
  <sheetFormatPr baseColWidth="10" defaultRowHeight="15" x14ac:dyDescent="0.25"/>
  <cols>
    <col min="6" max="6" width="13.7109375" bestFit="1" customWidth="1"/>
    <col min="10" max="10" width="11.42578125" customWidth="1"/>
  </cols>
  <sheetData>
    <row r="1" spans="1:19" ht="26.25" x14ac:dyDescent="0.25">
      <c r="A1" s="70" t="s">
        <v>562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3" spans="1:19" ht="15.75" x14ac:dyDescent="0.25">
      <c r="A3" s="71" t="s">
        <v>563</v>
      </c>
      <c r="B3" s="71"/>
      <c r="C3" s="71"/>
      <c r="D3" s="71"/>
      <c r="E3" s="71"/>
      <c r="F3" s="71"/>
      <c r="G3" s="71"/>
      <c r="H3" s="71"/>
      <c r="I3" s="71"/>
      <c r="J3" s="71"/>
    </row>
    <row r="4" spans="1:19" ht="15.75" x14ac:dyDescent="0.25">
      <c r="A4" s="58" t="s">
        <v>541</v>
      </c>
      <c r="B4" s="58" t="s">
        <v>564</v>
      </c>
      <c r="C4" s="58" t="s">
        <v>565</v>
      </c>
      <c r="D4" s="58" t="s">
        <v>7</v>
      </c>
      <c r="E4" s="58" t="s">
        <v>120</v>
      </c>
      <c r="F4" s="58" t="s">
        <v>246</v>
      </c>
      <c r="G4" s="58" t="s">
        <v>358</v>
      </c>
      <c r="H4" s="58" t="s">
        <v>533</v>
      </c>
      <c r="I4" s="58" t="s">
        <v>566</v>
      </c>
      <c r="J4" s="58" t="s">
        <v>479</v>
      </c>
    </row>
    <row r="5" spans="1:19" ht="15.75" x14ac:dyDescent="0.25">
      <c r="A5" s="59" t="str">
        <f>RAPPORT!B4</f>
        <v>MAAC</v>
      </c>
      <c r="B5" s="60">
        <f>RAPPORT!B5</f>
        <v>46283</v>
      </c>
      <c r="C5" s="59">
        <f ca="1">RAPPORT!B7</f>
      </c>
      <c r="D5" s="61" t="str">
        <f ca="1">RAPPORT!B31</f>
        <v/>
      </c>
      <c r="E5" s="61" t="str">
        <f ca="1">RAPPORT!B32</f>
        <v/>
      </c>
      <c r="F5" s="61" t="str">
        <f ca="1">RAPPORT!B33</f>
        <v/>
      </c>
      <c r="G5" s="61" t="str">
        <f ca="1">RAPPORT!B34</f>
        <v/>
      </c>
      <c r="H5" s="59">
        <f ca="1">RAPPORT!B22</f>
      </c>
      <c r="I5" s="59">
        <f ca="1">SUM(RAPPORT!E31:E34)</f>
      </c>
      <c r="J5" s="59">
        <f ca="1">RAPPORT!B10</f>
      </c>
    </row>
    <row r="7" spans="1:19" ht="15.75" x14ac:dyDescent="0.25">
      <c r="A7" s="72" t="s">
        <v>567</v>
      </c>
      <c r="B7" s="72"/>
      <c r="C7" s="72"/>
      <c r="D7" s="72"/>
      <c r="E7" s="72"/>
      <c r="F7" s="72"/>
      <c r="G7" s="72"/>
      <c r="H7" s="72"/>
      <c r="I7" s="72"/>
      <c r="J7" s="72"/>
    </row>
    <row r="8" spans="1:19" ht="15.75" x14ac:dyDescent="0.25">
      <c r="A8" s="57" t="s">
        <v>541</v>
      </c>
      <c r="B8" s="57" t="s">
        <v>564</v>
      </c>
      <c r="C8" s="57" t="s">
        <v>565</v>
      </c>
      <c r="D8" s="57" t="s">
        <v>7</v>
      </c>
      <c r="E8" s="57" t="s">
        <v>120</v>
      </c>
      <c r="F8" s="57" t="s">
        <v>246</v>
      </c>
      <c r="G8" s="57" t="s">
        <v>358</v>
      </c>
      <c r="H8" s="57" t="s">
        <v>533</v>
      </c>
      <c r="I8" s="57" t="s">
        <v>532</v>
      </c>
      <c r="J8" s="57" t="s">
        <v>479</v>
      </c>
    </row>
    <row r="9" spans="1:19" ht="15.75" x14ac:dyDescent="0.25">
      <c r="A9" s="112" t="s">
        <v>1037</v>
      </c>
      <c r="B9" s="113">
        <v>46282</v>
      </c>
      <c r="C9" s="112" t="s">
        <v>1039</v>
      </c>
      <c r="D9" s="114">
        <v>62.83</v>
      </c>
      <c r="E9" s="114">
        <v>89.81</v>
      </c>
      <c r="F9" s="114">
        <v>86.21</v>
      </c>
      <c r="G9" s="114">
        <v>81.94</v>
      </c>
      <c r="H9" s="112">
        <v>19</v>
      </c>
      <c r="I9" s="112">
        <v>0</v>
      </c>
      <c r="J9" s="112" t="s">
        <v>1040</v>
      </c>
    </row>
    <row r="10" spans="1:19" ht="15.75" x14ac:dyDescent="0.25">
      <c r="A10" s="112"/>
      <c r="B10" s="113"/>
      <c r="C10" s="112"/>
      <c r="D10" s="114"/>
      <c r="E10" s="114"/>
      <c r="F10" s="114"/>
      <c r="G10" s="114"/>
      <c r="H10" s="112"/>
      <c r="I10" s="112"/>
      <c r="J10" s="112"/>
    </row>
    <row r="11" spans="1:19" ht="15.75" x14ac:dyDescent="0.25">
      <c r="A11" s="112"/>
      <c r="B11" s="113"/>
      <c r="C11" s="112"/>
      <c r="D11" s="114"/>
      <c r="E11" s="114"/>
      <c r="F11" s="114"/>
      <c r="G11" s="114"/>
      <c r="H11" s="112"/>
      <c r="I11" s="112"/>
      <c r="J11" s="112"/>
    </row>
    <row r="12" spans="1:19" ht="15.75" x14ac:dyDescent="0.25">
      <c r="A12" s="112"/>
      <c r="B12" s="113"/>
      <c r="C12" s="112"/>
      <c r="D12" s="114"/>
      <c r="E12" s="114"/>
      <c r="F12" s="114"/>
      <c r="G12" s="114"/>
      <c r="H12" s="112"/>
      <c r="I12" s="112"/>
      <c r="J12" s="112"/>
    </row>
    <row r="13" spans="1:19" ht="15.75" x14ac:dyDescent="0.25">
      <c r="A13" s="112"/>
      <c r="B13" s="113"/>
      <c r="C13" s="112"/>
      <c r="D13" s="114"/>
      <c r="E13" s="114"/>
      <c r="F13" s="114"/>
      <c r="G13" s="114"/>
      <c r="H13" s="112"/>
      <c r="I13" s="112"/>
      <c r="J13" s="112"/>
    </row>
    <row r="14" spans="1:19" ht="15.75" x14ac:dyDescent="0.25">
      <c r="A14" s="112"/>
      <c r="B14" s="113"/>
      <c r="C14" s="112"/>
      <c r="D14" s="114"/>
      <c r="E14" s="114"/>
      <c r="F14" s="114"/>
      <c r="G14" s="114"/>
      <c r="H14" s="112"/>
      <c r="I14" s="112"/>
      <c r="J14" s="112"/>
    </row>
    <row r="15" spans="1:19" ht="15.75" x14ac:dyDescent="0.25">
      <c r="A15" s="112"/>
      <c r="B15" s="113"/>
      <c r="C15" s="112"/>
      <c r="D15" s="114"/>
      <c r="E15" s="114"/>
      <c r="F15" s="114"/>
      <c r="G15" s="114"/>
      <c r="H15" s="112"/>
      <c r="I15" s="112"/>
      <c r="J15" s="112"/>
    </row>
    <row r="16" spans="1:19" ht="15.75" x14ac:dyDescent="0.25">
      <c r="A16" s="112"/>
      <c r="B16" s="113"/>
      <c r="C16" s="112"/>
      <c r="D16" s="114"/>
      <c r="E16" s="114"/>
      <c r="F16" s="114"/>
      <c r="G16" s="114"/>
      <c r="H16" s="112"/>
      <c r="I16" s="112"/>
      <c r="J16" s="112"/>
    </row>
    <row r="17" spans="1:10" ht="15.75" x14ac:dyDescent="0.25">
      <c r="A17" s="112"/>
      <c r="B17" s="113"/>
      <c r="C17" s="112"/>
      <c r="D17" s="114"/>
      <c r="E17" s="114"/>
      <c r="F17" s="114"/>
      <c r="G17" s="114"/>
      <c r="H17" s="112"/>
      <c r="I17" s="112"/>
      <c r="J17" s="112"/>
    </row>
    <row r="18" spans="1:10" ht="15.75" x14ac:dyDescent="0.25">
      <c r="A18" s="112"/>
      <c r="B18" s="113"/>
      <c r="C18" s="112"/>
      <c r="D18" s="114"/>
      <c r="E18" s="114"/>
      <c r="F18" s="114"/>
      <c r="G18" s="114"/>
      <c r="H18" s="112"/>
      <c r="I18" s="112"/>
      <c r="J18" s="112"/>
    </row>
    <row r="19" spans="1:10" ht="15.75" x14ac:dyDescent="0.25">
      <c r="A19" s="112"/>
      <c r="B19" s="113"/>
      <c r="C19" s="112"/>
      <c r="D19" s="114"/>
      <c r="E19" s="114"/>
      <c r="F19" s="114"/>
      <c r="G19" s="114"/>
      <c r="H19" s="112"/>
      <c r="I19" s="112"/>
      <c r="J19" s="112"/>
    </row>
    <row r="20" spans="1:10" ht="15.75" x14ac:dyDescent="0.25">
      <c r="A20" s="112"/>
      <c r="B20" s="113"/>
      <c r="C20" s="112"/>
      <c r="D20" s="114"/>
      <c r="E20" s="114"/>
      <c r="F20" s="114"/>
      <c r="G20" s="114"/>
      <c r="H20" s="112"/>
      <c r="I20" s="112"/>
      <c r="J20" s="112"/>
    </row>
    <row r="21" spans="1:10" ht="15.75" x14ac:dyDescent="0.25">
      <c r="A21" s="112"/>
      <c r="B21" s="113"/>
      <c r="C21" s="112"/>
      <c r="D21" s="114"/>
      <c r="E21" s="114"/>
      <c r="F21" s="114"/>
      <c r="G21" s="114"/>
      <c r="H21" s="112"/>
      <c r="I21" s="112"/>
      <c r="J21" s="112"/>
    </row>
    <row r="22" spans="1:10" ht="15.75" x14ac:dyDescent="0.25">
      <c r="A22" s="112"/>
      <c r="B22" s="113"/>
      <c r="C22" s="112"/>
      <c r="D22" s="114"/>
      <c r="E22" s="114"/>
      <c r="F22" s="114"/>
      <c r="G22" s="114"/>
      <c r="H22" s="112"/>
      <c r="I22" s="112"/>
      <c r="J22" s="112"/>
    </row>
    <row r="23" spans="1:10" ht="15.75" x14ac:dyDescent="0.25">
      <c r="A23" s="112"/>
      <c r="B23" s="113"/>
      <c r="C23" s="112"/>
      <c r="D23" s="114"/>
      <c r="E23" s="114"/>
      <c r="F23" s="114"/>
      <c r="G23" s="114"/>
      <c r="H23" s="112"/>
      <c r="I23" s="112"/>
      <c r="J23" s="112"/>
    </row>
    <row r="24" spans="1:10" ht="15.75" x14ac:dyDescent="0.25">
      <c r="A24" s="112"/>
      <c r="B24" s="113"/>
      <c r="C24" s="112"/>
      <c r="D24" s="114"/>
      <c r="E24" s="114"/>
      <c r="F24" s="114"/>
      <c r="G24" s="114"/>
      <c r="H24" s="112"/>
      <c r="I24" s="112"/>
      <c r="J24" s="112"/>
    </row>
    <row r="25" spans="1:10" ht="15.75" x14ac:dyDescent="0.25">
      <c r="A25" s="112"/>
      <c r="B25" s="113"/>
      <c r="C25" s="112"/>
      <c r="D25" s="114"/>
      <c r="E25" s="114"/>
      <c r="F25" s="114"/>
      <c r="G25" s="114"/>
      <c r="H25" s="112"/>
      <c r="I25" s="112"/>
      <c r="J25" s="112"/>
    </row>
    <row r="26" spans="1:10" ht="15.75" x14ac:dyDescent="0.25">
      <c r="A26" s="112"/>
      <c r="B26" s="113"/>
      <c r="C26" s="112"/>
      <c r="D26" s="114"/>
      <c r="E26" s="114"/>
      <c r="F26" s="114"/>
      <c r="G26" s="114"/>
      <c r="H26" s="112"/>
      <c r="I26" s="112"/>
      <c r="J26" s="112"/>
    </row>
    <row r="27" spans="1:10" ht="15.75" x14ac:dyDescent="0.25">
      <c r="A27" s="112"/>
      <c r="B27" s="113"/>
      <c r="C27" s="112"/>
      <c r="D27" s="114"/>
      <c r="E27" s="114"/>
      <c r="F27" s="114"/>
      <c r="G27" s="114"/>
      <c r="H27" s="112"/>
      <c r="I27" s="112"/>
      <c r="J27" s="112"/>
    </row>
    <row r="28" spans="1:10" ht="15.75" x14ac:dyDescent="0.25">
      <c r="A28" s="112"/>
      <c r="B28" s="113"/>
      <c r="C28" s="112"/>
      <c r="D28" s="114"/>
      <c r="E28" s="114"/>
      <c r="F28" s="114"/>
      <c r="G28" s="114"/>
      <c r="H28" s="112"/>
      <c r="I28" s="112"/>
      <c r="J28" s="112"/>
    </row>
    <row r="29" spans="1:10" ht="15.75" x14ac:dyDescent="0.25">
      <c r="A29" s="112"/>
      <c r="B29" s="113"/>
      <c r="C29" s="112"/>
      <c r="D29" s="114"/>
      <c r="E29" s="114"/>
      <c r="F29" s="114"/>
      <c r="G29" s="114"/>
      <c r="H29" s="112"/>
      <c r="I29" s="112"/>
      <c r="J29" s="112"/>
    </row>
    <row r="30" spans="1:10" ht="15.75" x14ac:dyDescent="0.25">
      <c r="A30" s="112"/>
      <c r="B30" s="113"/>
      <c r="C30" s="112"/>
      <c r="D30" s="114"/>
      <c r="E30" s="114"/>
      <c r="F30" s="114"/>
      <c r="G30" s="114"/>
      <c r="H30" s="112"/>
      <c r="I30" s="112"/>
      <c r="J30" s="112"/>
    </row>
    <row r="31" spans="1:10" ht="15.75" x14ac:dyDescent="0.25">
      <c r="A31" s="112"/>
      <c r="B31" s="113"/>
      <c r="C31" s="112"/>
      <c r="D31" s="114"/>
      <c r="E31" s="114"/>
      <c r="F31" s="114"/>
      <c r="G31" s="114"/>
      <c r="H31" s="112"/>
      <c r="I31" s="112"/>
      <c r="J31" s="112"/>
    </row>
    <row r="32" spans="1:10" ht="15.75" x14ac:dyDescent="0.25">
      <c r="A32" s="112"/>
      <c r="B32" s="113"/>
      <c r="C32" s="112"/>
      <c r="D32" s="114"/>
      <c r="E32" s="114"/>
      <c r="F32" s="114"/>
      <c r="G32" s="114"/>
      <c r="H32" s="112"/>
      <c r="I32" s="112"/>
      <c r="J32" s="112"/>
    </row>
    <row r="33" spans="1:10" ht="15.75" x14ac:dyDescent="0.25">
      <c r="A33" s="112"/>
      <c r="B33" s="113"/>
      <c r="C33" s="112"/>
      <c r="D33" s="114"/>
      <c r="E33" s="114"/>
      <c r="F33" s="114"/>
      <c r="G33" s="114"/>
      <c r="H33" s="112"/>
      <c r="I33" s="112"/>
      <c r="J33" s="112"/>
    </row>
    <row r="34" spans="1:10" ht="15.75" x14ac:dyDescent="0.25">
      <c r="A34" s="112"/>
      <c r="B34" s="113"/>
      <c r="C34" s="112"/>
      <c r="D34" s="114"/>
      <c r="E34" s="114"/>
      <c r="F34" s="114"/>
      <c r="G34" s="114"/>
      <c r="H34" s="112"/>
      <c r="I34" s="112"/>
      <c r="J34" s="112"/>
    </row>
    <row r="35" spans="1:10" ht="15.75" x14ac:dyDescent="0.25">
      <c r="A35" s="112"/>
      <c r="B35" s="113"/>
      <c r="C35" s="112"/>
      <c r="D35" s="114"/>
      <c r="E35" s="114"/>
      <c r="F35" s="114"/>
      <c r="G35" s="114"/>
      <c r="H35" s="112"/>
      <c r="I35" s="112"/>
      <c r="J35" s="112"/>
    </row>
    <row r="36" spans="1:10" ht="15.75" x14ac:dyDescent="0.25">
      <c r="A36" s="112"/>
      <c r="B36" s="113"/>
      <c r="C36" s="112"/>
      <c r="D36" s="114"/>
      <c r="E36" s="114"/>
      <c r="F36" s="114"/>
      <c r="G36" s="114"/>
      <c r="H36" s="112"/>
      <c r="I36" s="112"/>
      <c r="J36" s="112"/>
    </row>
    <row r="37" spans="1:10" ht="15.75" x14ac:dyDescent="0.25">
      <c r="A37" s="112"/>
      <c r="B37" s="113"/>
      <c r="C37" s="112"/>
      <c r="D37" s="114"/>
      <c r="E37" s="114"/>
      <c r="F37" s="114"/>
      <c r="G37" s="114"/>
      <c r="H37" s="112"/>
      <c r="I37" s="112"/>
      <c r="J37" s="112"/>
    </row>
    <row r="38" spans="1:10" ht="15.75" x14ac:dyDescent="0.25">
      <c r="A38" s="112"/>
      <c r="B38" s="113"/>
      <c r="C38" s="112"/>
      <c r="D38" s="114"/>
      <c r="E38" s="114"/>
      <c r="F38" s="114"/>
      <c r="G38" s="114"/>
      <c r="H38" s="112"/>
      <c r="I38" s="112"/>
      <c r="J38" s="112"/>
    </row>
    <row r="39" spans="1:10" ht="15.75" x14ac:dyDescent="0.25">
      <c r="A39" s="112"/>
      <c r="B39" s="113"/>
      <c r="C39" s="112"/>
      <c r="D39" s="114"/>
      <c r="E39" s="114"/>
      <c r="F39" s="114"/>
      <c r="G39" s="114"/>
      <c r="H39" s="112"/>
      <c r="I39" s="112"/>
      <c r="J39" s="112"/>
    </row>
    <row r="40" spans="1:10" ht="15.75" x14ac:dyDescent="0.25">
      <c r="A40" s="112"/>
      <c r="B40" s="113"/>
      <c r="C40" s="112"/>
      <c r="D40" s="114"/>
      <c r="E40" s="114"/>
      <c r="F40" s="114"/>
      <c r="G40" s="114"/>
      <c r="H40" s="112"/>
      <c r="I40" s="112"/>
      <c r="J40" s="112"/>
    </row>
    <row r="41" spans="1:10" ht="15.75" x14ac:dyDescent="0.25">
      <c r="A41" s="112"/>
      <c r="B41" s="113"/>
      <c r="C41" s="112"/>
      <c r="D41" s="114"/>
      <c r="E41" s="114"/>
      <c r="F41" s="114"/>
      <c r="G41" s="114"/>
      <c r="H41" s="112"/>
      <c r="I41" s="112"/>
      <c r="J41" s="112"/>
    </row>
    <row r="42" spans="1:10" ht="15.75" x14ac:dyDescent="0.25">
      <c r="A42" s="112"/>
      <c r="B42" s="113"/>
      <c r="C42" s="112"/>
      <c r="D42" s="114"/>
      <c r="E42" s="114"/>
      <c r="F42" s="114"/>
      <c r="G42" s="114"/>
      <c r="H42" s="112"/>
      <c r="I42" s="112"/>
      <c r="J42" s="112"/>
    </row>
    <row r="43" spans="1:10" ht="15.75" x14ac:dyDescent="0.25">
      <c r="A43" s="112"/>
      <c r="B43" s="113"/>
      <c r="C43" s="112"/>
      <c r="D43" s="114"/>
      <c r="E43" s="114"/>
      <c r="F43" s="114"/>
      <c r="G43" s="114"/>
      <c r="H43" s="112"/>
      <c r="I43" s="112"/>
      <c r="J43" s="112"/>
    </row>
    <row r="44" spans="1:10" ht="15.75" x14ac:dyDescent="0.25">
      <c r="A44" s="112"/>
      <c r="B44" s="113"/>
      <c r="C44" s="112"/>
      <c r="D44" s="114"/>
      <c r="E44" s="114"/>
      <c r="F44" s="114"/>
      <c r="G44" s="114"/>
      <c r="H44" s="112"/>
      <c r="I44" s="112"/>
      <c r="J44" s="112"/>
    </row>
    <row r="45" spans="1:10" ht="15.75" x14ac:dyDescent="0.25">
      <c r="A45" s="112"/>
      <c r="B45" s="113"/>
      <c r="C45" s="112"/>
      <c r="D45" s="114"/>
      <c r="E45" s="114"/>
      <c r="F45" s="114"/>
      <c r="G45" s="114"/>
      <c r="H45" s="112"/>
      <c r="I45" s="112"/>
      <c r="J45" s="112"/>
    </row>
    <row r="46" spans="1:10" ht="15.75" x14ac:dyDescent="0.25">
      <c r="A46" s="112"/>
      <c r="B46" s="113"/>
      <c r="C46" s="112"/>
      <c r="D46" s="114"/>
      <c r="E46" s="114"/>
      <c r="F46" s="114"/>
      <c r="G46" s="114"/>
      <c r="H46" s="112"/>
      <c r="I46" s="112"/>
      <c r="J46" s="112"/>
    </row>
    <row r="47" spans="1:10" ht="15.75" x14ac:dyDescent="0.25">
      <c r="A47" s="112"/>
      <c r="B47" s="113"/>
      <c r="C47" s="112"/>
      <c r="D47" s="114"/>
      <c r="E47" s="114"/>
      <c r="F47" s="114"/>
      <c r="G47" s="114"/>
      <c r="H47" s="112"/>
      <c r="I47" s="112"/>
      <c r="J47" s="112"/>
    </row>
    <row r="48" spans="1:10" ht="15.75" x14ac:dyDescent="0.25">
      <c r="A48" s="112"/>
      <c r="B48" s="113"/>
      <c r="C48" s="112"/>
      <c r="D48" s="114"/>
      <c r="E48" s="114"/>
      <c r="F48" s="114"/>
      <c r="G48" s="114"/>
      <c r="H48" s="112"/>
      <c r="I48" s="112"/>
      <c r="J48" s="112"/>
    </row>
    <row r="49" spans="1:10" ht="15.75" x14ac:dyDescent="0.25">
      <c r="A49" s="112"/>
      <c r="B49" s="113"/>
      <c r="C49" s="112"/>
      <c r="D49" s="114"/>
      <c r="E49" s="114"/>
      <c r="F49" s="114"/>
      <c r="G49" s="114"/>
      <c r="H49" s="112"/>
      <c r="I49" s="112"/>
      <c r="J49" s="112"/>
    </row>
    <row r="50" spans="1:10" ht="15.75" x14ac:dyDescent="0.25">
      <c r="A50" s="112"/>
      <c r="B50" s="113"/>
      <c r="C50" s="112"/>
      <c r="D50" s="114"/>
      <c r="E50" s="114"/>
      <c r="F50" s="114"/>
      <c r="G50" s="114"/>
      <c r="H50" s="112"/>
      <c r="I50" s="112"/>
      <c r="J50" s="112"/>
    </row>
    <row r="51" spans="1:10" ht="15.75" x14ac:dyDescent="0.25">
      <c r="A51" s="112"/>
      <c r="B51" s="113"/>
      <c r="C51" s="112"/>
      <c r="D51" s="114"/>
      <c r="E51" s="114"/>
      <c r="F51" s="114"/>
      <c r="G51" s="114"/>
      <c r="H51" s="112"/>
      <c r="I51" s="112"/>
      <c r="J51" s="112"/>
    </row>
    <row r="52" spans="1:10" ht="15.75" x14ac:dyDescent="0.25">
      <c r="A52" s="112"/>
      <c r="B52" s="113"/>
      <c r="C52" s="112"/>
      <c r="D52" s="114"/>
      <c r="E52" s="114"/>
      <c r="F52" s="114"/>
      <c r="G52" s="114"/>
      <c r="H52" s="112"/>
      <c r="I52" s="112"/>
      <c r="J52" s="112"/>
    </row>
    <row r="53" spans="1:10" ht="15.75" x14ac:dyDescent="0.25">
      <c r="A53" s="112"/>
      <c r="B53" s="113"/>
      <c r="C53" s="112"/>
      <c r="D53" s="114"/>
      <c r="E53" s="114"/>
      <c r="F53" s="114"/>
      <c r="G53" s="114"/>
      <c r="H53" s="112"/>
      <c r="I53" s="112"/>
      <c r="J53" s="112"/>
    </row>
    <row r="54" spans="1:10" ht="15.75" x14ac:dyDescent="0.25">
      <c r="A54" s="112"/>
      <c r="B54" s="113"/>
      <c r="C54" s="112"/>
      <c r="D54" s="114"/>
      <c r="E54" s="114"/>
      <c r="F54" s="114"/>
      <c r="G54" s="114"/>
      <c r="H54" s="112"/>
      <c r="I54" s="112"/>
      <c r="J54" s="112"/>
    </row>
    <row r="55" spans="1:10" ht="15.75" x14ac:dyDescent="0.25">
      <c r="A55" s="112"/>
      <c r="B55" s="113"/>
      <c r="C55" s="112"/>
      <c r="D55" s="114"/>
      <c r="E55" s="114"/>
      <c r="F55" s="114"/>
      <c r="G55" s="114"/>
      <c r="H55" s="112"/>
      <c r="I55" s="112"/>
      <c r="J55" s="112"/>
    </row>
    <row r="56" spans="1:10" ht="15.75" x14ac:dyDescent="0.25">
      <c r="A56" s="112"/>
      <c r="B56" s="113"/>
      <c r="C56" s="112"/>
      <c r="D56" s="114"/>
      <c r="E56" s="114"/>
      <c r="F56" s="114"/>
      <c r="G56" s="114"/>
      <c r="H56" s="112"/>
      <c r="I56" s="112"/>
      <c r="J56" s="112"/>
    </row>
    <row r="57" spans="1:10" ht="15.75" x14ac:dyDescent="0.25">
      <c r="A57" s="112"/>
      <c r="B57" s="113"/>
      <c r="C57" s="112"/>
      <c r="D57" s="114"/>
      <c r="E57" s="114"/>
      <c r="F57" s="114"/>
      <c r="G57" s="114"/>
      <c r="H57" s="112"/>
      <c r="I57" s="112"/>
      <c r="J57" s="112"/>
    </row>
    <row r="58" spans="1:10" ht="15.75" x14ac:dyDescent="0.25">
      <c r="A58" s="112"/>
      <c r="B58" s="113"/>
      <c r="C58" s="112"/>
      <c r="D58" s="114"/>
      <c r="E58" s="114"/>
      <c r="F58" s="114"/>
      <c r="G58" s="114"/>
      <c r="H58" s="112"/>
      <c r="I58" s="112"/>
      <c r="J58" s="112"/>
    </row>
    <row r="59" spans="1:10" ht="15.75" x14ac:dyDescent="0.25">
      <c r="A59" s="112"/>
      <c r="B59" s="113"/>
      <c r="C59" s="112"/>
      <c r="D59" s="114"/>
      <c r="E59" s="114"/>
      <c r="F59" s="114"/>
      <c r="G59" s="114"/>
      <c r="H59" s="112"/>
      <c r="I59" s="112"/>
      <c r="J59" s="112"/>
    </row>
    <row r="60" spans="1:10" ht="15.75" x14ac:dyDescent="0.25">
      <c r="A60" s="112"/>
      <c r="B60" s="113"/>
      <c r="C60" s="112"/>
      <c r="D60" s="114"/>
      <c r="E60" s="114"/>
      <c r="F60" s="114"/>
      <c r="G60" s="114"/>
      <c r="H60" s="112"/>
      <c r="I60" s="112"/>
      <c r="J60" s="112"/>
    </row>
    <row r="61" spans="1:10" ht="15.75" x14ac:dyDescent="0.25">
      <c r="A61" s="112"/>
      <c r="B61" s="113"/>
      <c r="C61" s="112"/>
      <c r="D61" s="114"/>
      <c r="E61" s="114"/>
      <c r="F61" s="114"/>
      <c r="G61" s="114"/>
      <c r="H61" s="112"/>
      <c r="I61" s="112"/>
      <c r="J61" s="112"/>
    </row>
    <row r="62" spans="1:10" ht="15.75" x14ac:dyDescent="0.25">
      <c r="A62" s="112"/>
      <c r="B62" s="113"/>
      <c r="C62" s="112"/>
      <c r="D62" s="114"/>
      <c r="E62" s="114"/>
      <c r="F62" s="114"/>
      <c r="G62" s="114"/>
      <c r="H62" s="112"/>
      <c r="I62" s="112"/>
      <c r="J62" s="112"/>
    </row>
    <row r="63" spans="1:10" ht="15.75" x14ac:dyDescent="0.25">
      <c r="A63" s="112"/>
      <c r="B63" s="113"/>
      <c r="C63" s="112"/>
      <c r="D63" s="114"/>
      <c r="E63" s="114"/>
      <c r="F63" s="114"/>
      <c r="G63" s="114"/>
      <c r="H63" s="112"/>
      <c r="I63" s="112"/>
      <c r="J63" s="112"/>
    </row>
    <row r="64" spans="1:10" ht="15.75" x14ac:dyDescent="0.25">
      <c r="A64" s="112"/>
      <c r="B64" s="113"/>
      <c r="C64" s="112"/>
      <c r="D64" s="114"/>
      <c r="E64" s="114"/>
      <c r="F64" s="114"/>
      <c r="G64" s="114"/>
      <c r="H64" s="112"/>
      <c r="I64" s="112"/>
      <c r="J64" s="112"/>
    </row>
    <row r="65" spans="1:10" ht="15.75" x14ac:dyDescent="0.25">
      <c r="A65" s="112"/>
      <c r="B65" s="113"/>
      <c r="C65" s="112"/>
      <c r="D65" s="114"/>
      <c r="E65" s="114"/>
      <c r="F65" s="114"/>
      <c r="G65" s="114"/>
      <c r="H65" s="112"/>
      <c r="I65" s="112"/>
      <c r="J65" s="112"/>
    </row>
    <row r="66" spans="1:10" ht="15.75" x14ac:dyDescent="0.25">
      <c r="A66" s="112"/>
      <c r="B66" s="113"/>
      <c r="C66" s="112"/>
      <c r="D66" s="114"/>
      <c r="E66" s="114"/>
      <c r="F66" s="114"/>
      <c r="G66" s="114"/>
      <c r="H66" s="112"/>
      <c r="I66" s="112"/>
      <c r="J66" s="112"/>
    </row>
    <row r="67" spans="1:10" ht="15.75" x14ac:dyDescent="0.25">
      <c r="A67" s="112"/>
      <c r="B67" s="113"/>
      <c r="C67" s="112"/>
      <c r="D67" s="114"/>
      <c r="E67" s="114"/>
      <c r="F67" s="114"/>
      <c r="G67" s="114"/>
      <c r="H67" s="112"/>
      <c r="I67" s="112"/>
      <c r="J67" s="112"/>
    </row>
    <row r="68" spans="1:10" ht="15.75" x14ac:dyDescent="0.25">
      <c r="A68" s="112"/>
      <c r="B68" s="113"/>
      <c r="C68" s="112"/>
      <c r="D68" s="114"/>
      <c r="E68" s="114"/>
      <c r="F68" s="114"/>
      <c r="G68" s="114"/>
      <c r="H68" s="112"/>
      <c r="I68" s="112"/>
      <c r="J68" s="112"/>
    </row>
    <row r="69" spans="1:10" ht="15.75" x14ac:dyDescent="0.25">
      <c r="A69" s="112"/>
      <c r="B69" s="113"/>
      <c r="C69" s="112"/>
      <c r="D69" s="114"/>
      <c r="E69" s="114"/>
      <c r="F69" s="114"/>
      <c r="G69" s="114"/>
      <c r="H69" s="112"/>
      <c r="I69" s="112"/>
      <c r="J69" s="112"/>
    </row>
    <row r="70" spans="1:10" ht="15.75" x14ac:dyDescent="0.25">
      <c r="A70" s="112"/>
      <c r="B70" s="113"/>
      <c r="C70" s="112"/>
      <c r="D70" s="114"/>
      <c r="E70" s="114"/>
      <c r="F70" s="114"/>
      <c r="G70" s="114"/>
      <c r="H70" s="112"/>
      <c r="I70" s="112"/>
      <c r="J70" s="112"/>
    </row>
    <row r="71" spans="1:10" ht="15.75" x14ac:dyDescent="0.25">
      <c r="A71" s="112"/>
      <c r="B71" s="113"/>
      <c r="C71" s="112"/>
      <c r="D71" s="114"/>
      <c r="E71" s="114"/>
      <c r="F71" s="114"/>
      <c r="G71" s="114"/>
      <c r="H71" s="112"/>
      <c r="I71" s="112"/>
      <c r="J71" s="112"/>
    </row>
    <row r="72" spans="1:10" ht="15.75" x14ac:dyDescent="0.25">
      <c r="A72" s="112"/>
      <c r="B72" s="113"/>
      <c r="C72" s="112"/>
      <c r="D72" s="114"/>
      <c r="E72" s="114"/>
      <c r="F72" s="114"/>
      <c r="G72" s="114"/>
      <c r="H72" s="112"/>
      <c r="I72" s="112"/>
      <c r="J72" s="112"/>
    </row>
    <row r="73" spans="1:10" ht="15.75" x14ac:dyDescent="0.25">
      <c r="A73" s="112"/>
      <c r="B73" s="113"/>
      <c r="C73" s="112"/>
      <c r="D73" s="114"/>
      <c r="E73" s="114"/>
      <c r="F73" s="114"/>
      <c r="G73" s="114"/>
      <c r="H73" s="112"/>
      <c r="I73" s="112"/>
      <c r="J73" s="112"/>
    </row>
    <row r="74" spans="1:10" ht="15.75" x14ac:dyDescent="0.25">
      <c r="A74" s="112"/>
      <c r="B74" s="113"/>
      <c r="C74" s="112"/>
      <c r="D74" s="114"/>
      <c r="E74" s="114"/>
      <c r="F74" s="114"/>
      <c r="G74" s="114"/>
      <c r="H74" s="112"/>
      <c r="I74" s="112"/>
      <c r="J74" s="112"/>
    </row>
    <row r="75" spans="1:10" ht="15.75" x14ac:dyDescent="0.25">
      <c r="A75" s="112"/>
      <c r="B75" s="113"/>
      <c r="C75" s="112"/>
      <c r="D75" s="114"/>
      <c r="E75" s="114"/>
      <c r="F75" s="114"/>
      <c r="G75" s="114"/>
      <c r="H75" s="112"/>
      <c r="I75" s="112"/>
      <c r="J75" s="112"/>
    </row>
    <row r="76" spans="1:10" ht="15.75" x14ac:dyDescent="0.25">
      <c r="A76" s="112"/>
      <c r="B76" s="113"/>
      <c r="C76" s="112"/>
      <c r="D76" s="114"/>
      <c r="E76" s="114"/>
      <c r="F76" s="114"/>
      <c r="G76" s="114"/>
      <c r="H76" s="112"/>
      <c r="I76" s="112"/>
      <c r="J76" s="112"/>
    </row>
    <row r="77" spans="1:10" ht="15.75" x14ac:dyDescent="0.25">
      <c r="A77" s="112"/>
      <c r="B77" s="113"/>
      <c r="C77" s="112"/>
      <c r="D77" s="114"/>
      <c r="E77" s="114"/>
      <c r="F77" s="114"/>
      <c r="G77" s="114"/>
      <c r="H77" s="112"/>
      <c r="I77" s="112"/>
      <c r="J77" s="112"/>
    </row>
    <row r="78" spans="1:10" ht="15.75" x14ac:dyDescent="0.25">
      <c r="A78" s="112"/>
      <c r="B78" s="113"/>
      <c r="C78" s="112"/>
      <c r="D78" s="114"/>
      <c r="E78" s="114"/>
      <c r="F78" s="114"/>
      <c r="G78" s="114"/>
      <c r="H78" s="112"/>
      <c r="I78" s="112"/>
      <c r="J78" s="112"/>
    </row>
    <row r="79" spans="1:10" ht="15.75" x14ac:dyDescent="0.25">
      <c r="A79" s="112"/>
      <c r="B79" s="113"/>
      <c r="C79" s="112"/>
      <c r="D79" s="114"/>
      <c r="E79" s="114"/>
      <c r="F79" s="114"/>
      <c r="G79" s="114"/>
      <c r="H79" s="112"/>
      <c r="I79" s="112"/>
      <c r="J79" s="112"/>
    </row>
    <row r="80" spans="1:10" ht="15.75" x14ac:dyDescent="0.25">
      <c r="A80" s="112"/>
      <c r="B80" s="113"/>
      <c r="C80" s="112"/>
      <c r="D80" s="114"/>
      <c r="E80" s="114"/>
      <c r="F80" s="114"/>
      <c r="G80" s="114"/>
      <c r="H80" s="112"/>
      <c r="I80" s="112"/>
      <c r="J80" s="112"/>
    </row>
    <row r="81" spans="1:10" ht="15.75" x14ac:dyDescent="0.25">
      <c r="A81" s="112"/>
      <c r="B81" s="113"/>
      <c r="C81" s="112"/>
      <c r="D81" s="114"/>
      <c r="E81" s="114"/>
      <c r="F81" s="114"/>
      <c r="G81" s="114"/>
      <c r="H81" s="112"/>
      <c r="I81" s="112"/>
      <c r="J81" s="112"/>
    </row>
    <row r="82" spans="1:10" ht="15.75" x14ac:dyDescent="0.25">
      <c r="A82" s="112"/>
      <c r="B82" s="113"/>
      <c r="C82" s="112"/>
      <c r="D82" s="114"/>
      <c r="E82" s="114"/>
      <c r="F82" s="114"/>
      <c r="G82" s="114"/>
      <c r="H82" s="112"/>
      <c r="I82" s="112"/>
      <c r="J82" s="112"/>
    </row>
    <row r="83" spans="1:10" ht="15.75" x14ac:dyDescent="0.25">
      <c r="A83" s="112"/>
      <c r="B83" s="113"/>
      <c r="C83" s="112"/>
      <c r="D83" s="114"/>
      <c r="E83" s="114"/>
      <c r="F83" s="114"/>
      <c r="G83" s="114"/>
      <c r="H83" s="112"/>
      <c r="I83" s="112"/>
      <c r="J83" s="112"/>
    </row>
    <row r="84" spans="1:10" ht="15.75" x14ac:dyDescent="0.25">
      <c r="A84" s="112"/>
      <c r="B84" s="113"/>
      <c r="C84" s="112"/>
      <c r="D84" s="114"/>
      <c r="E84" s="114"/>
      <c r="F84" s="114"/>
      <c r="G84" s="114"/>
      <c r="H84" s="112"/>
      <c r="I84" s="112"/>
      <c r="J84" s="112"/>
    </row>
    <row r="85" spans="1:10" ht="15.75" x14ac:dyDescent="0.25">
      <c r="A85" s="112"/>
      <c r="B85" s="113"/>
      <c r="C85" s="112"/>
      <c r="D85" s="114"/>
      <c r="E85" s="114"/>
      <c r="F85" s="114"/>
      <c r="G85" s="114"/>
      <c r="H85" s="112"/>
      <c r="I85" s="112"/>
      <c r="J85" s="112"/>
    </row>
    <row r="86" spans="1:10" ht="15.75" x14ac:dyDescent="0.25">
      <c r="A86" s="112"/>
      <c r="B86" s="113"/>
      <c r="C86" s="112"/>
      <c r="D86" s="114"/>
      <c r="E86" s="114"/>
      <c r="F86" s="114"/>
      <c r="G86" s="114"/>
      <c r="H86" s="112"/>
      <c r="I86" s="112"/>
      <c r="J86" s="112"/>
    </row>
    <row r="87" spans="1:10" ht="15.75" x14ac:dyDescent="0.25">
      <c r="A87" s="112"/>
      <c r="B87" s="113"/>
      <c r="C87" s="112"/>
      <c r="D87" s="114"/>
      <c r="E87" s="114"/>
      <c r="F87" s="114"/>
      <c r="G87" s="114"/>
      <c r="H87" s="112"/>
      <c r="I87" s="112"/>
      <c r="J87" s="112"/>
    </row>
    <row r="88" spans="1:10" ht="15.75" x14ac:dyDescent="0.25">
      <c r="A88" s="112"/>
      <c r="B88" s="113"/>
      <c r="C88" s="112"/>
      <c r="D88" s="114"/>
      <c r="E88" s="114"/>
      <c r="F88" s="114"/>
      <c r="G88" s="114"/>
      <c r="H88" s="112"/>
      <c r="I88" s="112"/>
      <c r="J88" s="112"/>
    </row>
    <row r="89" spans="1:10" ht="15.75" x14ac:dyDescent="0.25">
      <c r="A89" s="112"/>
      <c r="B89" s="113"/>
      <c r="C89" s="112"/>
      <c r="D89" s="114"/>
      <c r="E89" s="114"/>
      <c r="F89" s="114"/>
      <c r="G89" s="114"/>
      <c r="H89" s="112"/>
      <c r="I89" s="112"/>
      <c r="J89" s="112"/>
    </row>
    <row r="90" spans="1:10" ht="15.75" x14ac:dyDescent="0.25">
      <c r="A90" s="112"/>
      <c r="B90" s="113"/>
      <c r="C90" s="112"/>
      <c r="D90" s="114"/>
      <c r="E90" s="114"/>
      <c r="F90" s="114"/>
      <c r="G90" s="114"/>
      <c r="H90" s="112"/>
      <c r="I90" s="112"/>
      <c r="J90" s="112"/>
    </row>
    <row r="91" spans="1:10" ht="15.75" x14ac:dyDescent="0.25">
      <c r="A91" s="112"/>
      <c r="B91" s="113"/>
      <c r="C91" s="112"/>
      <c r="D91" s="114"/>
      <c r="E91" s="114"/>
      <c r="F91" s="114"/>
      <c r="G91" s="114"/>
      <c r="H91" s="112"/>
      <c r="I91" s="112"/>
      <c r="J91" s="112"/>
    </row>
    <row r="92" spans="1:10" ht="15.75" x14ac:dyDescent="0.25">
      <c r="A92" s="112"/>
      <c r="B92" s="113"/>
      <c r="C92" s="112"/>
      <c r="D92" s="114"/>
      <c r="E92" s="114"/>
      <c r="F92" s="114"/>
      <c r="G92" s="114"/>
      <c r="H92" s="112"/>
      <c r="I92" s="112"/>
      <c r="J92" s="112"/>
    </row>
    <row r="93" spans="1:10" ht="15.75" x14ac:dyDescent="0.25">
      <c r="A93" s="112"/>
      <c r="B93" s="113"/>
      <c r="C93" s="112"/>
      <c r="D93" s="114"/>
      <c r="E93" s="114"/>
      <c r="F93" s="114"/>
      <c r="G93" s="114"/>
      <c r="H93" s="112"/>
      <c r="I93" s="112"/>
      <c r="J93" s="112"/>
    </row>
    <row r="94" spans="1:10" ht="15.75" x14ac:dyDescent="0.25">
      <c r="A94" s="112"/>
      <c r="B94" s="113"/>
      <c r="C94" s="112"/>
      <c r="D94" s="114"/>
      <c r="E94" s="114"/>
      <c r="F94" s="114"/>
      <c r="G94" s="114"/>
      <c r="H94" s="112"/>
      <c r="I94" s="112"/>
      <c r="J94" s="112"/>
    </row>
    <row r="95" spans="1:10" ht="15.75" x14ac:dyDescent="0.25">
      <c r="A95" s="112"/>
      <c r="B95" s="113"/>
      <c r="C95" s="112"/>
      <c r="D95" s="114"/>
      <c r="E95" s="114"/>
      <c r="F95" s="114"/>
      <c r="G95" s="114"/>
      <c r="H95" s="112"/>
      <c r="I95" s="112"/>
      <c r="J95" s="112"/>
    </row>
    <row r="96" spans="1:10" ht="15.75" x14ac:dyDescent="0.25">
      <c r="A96" s="112"/>
      <c r="B96" s="113"/>
      <c r="C96" s="112"/>
      <c r="D96" s="114"/>
      <c r="E96" s="114"/>
      <c r="F96" s="114"/>
      <c r="G96" s="114"/>
      <c r="H96" s="112"/>
      <c r="I96" s="112"/>
      <c r="J96" s="112"/>
    </row>
    <row r="97" spans="1:10" ht="15.75" x14ac:dyDescent="0.25">
      <c r="A97" s="112"/>
      <c r="B97" s="113"/>
      <c r="C97" s="112"/>
      <c r="D97" s="114"/>
      <c r="E97" s="114"/>
      <c r="F97" s="114"/>
      <c r="G97" s="114"/>
      <c r="H97" s="112"/>
      <c r="I97" s="112"/>
      <c r="J97" s="112"/>
    </row>
    <row r="98" spans="1:10" ht="15.75" x14ac:dyDescent="0.25">
      <c r="A98" s="112"/>
      <c r="B98" s="113"/>
      <c r="C98" s="112"/>
      <c r="D98" s="114"/>
      <c r="E98" s="114"/>
      <c r="F98" s="114"/>
      <c r="G98" s="114"/>
      <c r="H98" s="112"/>
      <c r="I98" s="112"/>
      <c r="J98" s="112"/>
    </row>
    <row r="99" spans="1:10" ht="15.75" x14ac:dyDescent="0.25">
      <c r="A99" s="112"/>
      <c r="B99" s="113"/>
      <c r="C99" s="112"/>
      <c r="D99" s="114"/>
      <c r="E99" s="114"/>
      <c r="F99" s="114"/>
      <c r="G99" s="114"/>
      <c r="H99" s="112"/>
      <c r="I99" s="112"/>
      <c r="J99" s="112"/>
    </row>
    <row r="100" spans="1:10" x14ac:dyDescent="0.25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</row>
    <row r="101" spans="1:10" x14ac:dyDescent="0.25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</row>
    <row r="102" spans="1:10" x14ac:dyDescent="0.25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</row>
    <row r="103" spans="1:10" x14ac:dyDescent="0.25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</row>
    <row r="104" spans="1:10" x14ac:dyDescent="0.25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</row>
    <row r="105" spans="1:10" x14ac:dyDescent="0.2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</row>
    <row r="106" spans="1:10" x14ac:dyDescent="0.25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</row>
    <row r="107" spans="1:10" x14ac:dyDescent="0.25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</row>
    <row r="108" spans="1:10" x14ac:dyDescent="0.25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</row>
    <row r="109" spans="1:10" x14ac:dyDescent="0.25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</row>
    <row r="110" spans="1:10" x14ac:dyDescent="0.25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</row>
    <row r="111" spans="1:10" x14ac:dyDescent="0.25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</row>
    <row r="112" spans="1:10" x14ac:dyDescent="0.25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</row>
    <row r="113" spans="1:10" x14ac:dyDescent="0.25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</row>
    <row r="114" spans="1:10" x14ac:dyDescent="0.25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</row>
    <row r="115" spans="1:10" x14ac:dyDescent="0.2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</row>
    <row r="116" spans="1:10" x14ac:dyDescent="0.25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</row>
    <row r="117" spans="1:10" x14ac:dyDescent="0.25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</row>
    <row r="118" spans="1:10" x14ac:dyDescent="0.25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</row>
    <row r="119" spans="1:10" x14ac:dyDescent="0.25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</row>
    <row r="120" spans="1:10" x14ac:dyDescent="0.25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</row>
    <row r="121" spans="1:10" x14ac:dyDescent="0.25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</row>
    <row r="122" spans="1:10" x14ac:dyDescent="0.25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</row>
    <row r="123" spans="1:10" x14ac:dyDescent="0.25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</row>
    <row r="124" spans="1:10" x14ac:dyDescent="0.25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</row>
    <row r="125" spans="1:10" x14ac:dyDescent="0.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</row>
    <row r="126" spans="1:10" x14ac:dyDescent="0.25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</row>
    <row r="127" spans="1:10" x14ac:dyDescent="0.25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</row>
    <row r="128" spans="1:10" x14ac:dyDescent="0.25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</row>
    <row r="129" spans="1:10" x14ac:dyDescent="0.25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</row>
    <row r="130" spans="1:10" x14ac:dyDescent="0.25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</row>
    <row r="131" spans="1:10" x14ac:dyDescent="0.25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</row>
    <row r="132" spans="1:10" x14ac:dyDescent="0.25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</row>
    <row r="133" spans="1:10" x14ac:dyDescent="0.25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</row>
    <row r="134" spans="1:10" x14ac:dyDescent="0.25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</row>
    <row r="135" spans="1:10" x14ac:dyDescent="0.2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</row>
    <row r="136" spans="1:10" x14ac:dyDescent="0.25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</row>
    <row r="137" spans="1:10" x14ac:dyDescent="0.25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</row>
    <row r="138" spans="1:10" x14ac:dyDescent="0.25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</row>
    <row r="139" spans="1:10" x14ac:dyDescent="0.25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</row>
    <row r="140" spans="1:10" x14ac:dyDescent="0.25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</row>
    <row r="141" spans="1:10" x14ac:dyDescent="0.25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</row>
    <row r="142" spans="1:10" x14ac:dyDescent="0.25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</row>
    <row r="143" spans="1:10" x14ac:dyDescent="0.25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</row>
    <row r="144" spans="1:10" x14ac:dyDescent="0.25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</row>
    <row r="145" spans="1:10" x14ac:dyDescent="0.2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</row>
    <row r="146" spans="1:10" x14ac:dyDescent="0.25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</row>
    <row r="147" spans="1:10" x14ac:dyDescent="0.25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</row>
    <row r="148" spans="1:10" x14ac:dyDescent="0.25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</row>
    <row r="149" spans="1:10" x14ac:dyDescent="0.25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</row>
    <row r="150" spans="1:10" x14ac:dyDescent="0.25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</row>
    <row r="151" spans="1:10" x14ac:dyDescent="0.25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</row>
    <row r="152" spans="1:10" x14ac:dyDescent="0.25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</row>
    <row r="153" spans="1:10" x14ac:dyDescent="0.25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</row>
    <row r="154" spans="1:10" x14ac:dyDescent="0.25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</row>
    <row r="155" spans="1:10" x14ac:dyDescent="0.2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</row>
    <row r="156" spans="1:10" x14ac:dyDescent="0.25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</row>
    <row r="157" spans="1:10" x14ac:dyDescent="0.25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</row>
    <row r="158" spans="1:10" x14ac:dyDescent="0.25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</row>
    <row r="159" spans="1:10" x14ac:dyDescent="0.25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</row>
    <row r="160" spans="1:10" x14ac:dyDescent="0.25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</row>
    <row r="161" spans="1:10" x14ac:dyDescent="0.25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</row>
    <row r="162" spans="1:10" x14ac:dyDescent="0.25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</row>
    <row r="163" spans="1:10" x14ac:dyDescent="0.25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</row>
    <row r="164" spans="1:10" x14ac:dyDescent="0.25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</row>
    <row r="165" spans="1:10" x14ac:dyDescent="0.2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</row>
    <row r="166" spans="1:10" x14ac:dyDescent="0.25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</row>
    <row r="167" spans="1:10" x14ac:dyDescent="0.25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</row>
    <row r="168" spans="1:10" x14ac:dyDescent="0.25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</row>
    <row r="169" spans="1:10" x14ac:dyDescent="0.25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</row>
    <row r="170" spans="1:10" x14ac:dyDescent="0.25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</row>
    <row r="171" spans="1:10" x14ac:dyDescent="0.25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</row>
    <row r="172" spans="1:10" x14ac:dyDescent="0.25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</row>
    <row r="173" spans="1:10" x14ac:dyDescent="0.25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</row>
    <row r="174" spans="1:10" x14ac:dyDescent="0.25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</row>
    <row r="175" spans="1:10" x14ac:dyDescent="0.2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</row>
    <row r="176" spans="1:10" x14ac:dyDescent="0.25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</row>
    <row r="177" spans="1:10" x14ac:dyDescent="0.25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</row>
    <row r="178" spans="1:10" x14ac:dyDescent="0.25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</row>
    <row r="179" spans="1:10" x14ac:dyDescent="0.25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</row>
    <row r="180" spans="1:10" x14ac:dyDescent="0.25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</row>
    <row r="181" spans="1:10" x14ac:dyDescent="0.25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</row>
    <row r="182" spans="1:10" x14ac:dyDescent="0.25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</row>
    <row r="183" spans="1:10" x14ac:dyDescent="0.25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</row>
    <row r="184" spans="1:10" x14ac:dyDescent="0.25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</row>
    <row r="185" spans="1:10" x14ac:dyDescent="0.2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</row>
    <row r="186" spans="1:10" x14ac:dyDescent="0.25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</row>
    <row r="187" spans="1:10" x14ac:dyDescent="0.25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</row>
    <row r="188" spans="1:10" x14ac:dyDescent="0.25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</row>
    <row r="189" spans="1:10" x14ac:dyDescent="0.25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</row>
    <row r="190" spans="1:10" x14ac:dyDescent="0.25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</row>
    <row r="191" spans="1:10" x14ac:dyDescent="0.25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</row>
    <row r="192" spans="1:10" x14ac:dyDescent="0.25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</row>
    <row r="193" spans="1:10" x14ac:dyDescent="0.25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</row>
    <row r="194" spans="1:10" x14ac:dyDescent="0.25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</row>
    <row r="195" spans="1:10" x14ac:dyDescent="0.2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</row>
    <row r="196" spans="1:10" x14ac:dyDescent="0.25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</row>
    <row r="197" spans="1:10" x14ac:dyDescent="0.25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</row>
    <row r="198" spans="1:10" x14ac:dyDescent="0.25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</row>
    <row r="199" spans="1:10" x14ac:dyDescent="0.25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</row>
    <row r="200" spans="1:10" x14ac:dyDescent="0.25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</row>
    <row r="201" spans="1:10" x14ac:dyDescent="0.25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</row>
    <row r="202" spans="1:10" x14ac:dyDescent="0.25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</row>
    <row r="203" spans="1:10" x14ac:dyDescent="0.25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</row>
    <row r="204" spans="1:10" x14ac:dyDescent="0.25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</row>
    <row r="205" spans="1:10" x14ac:dyDescent="0.2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</row>
    <row r="206" spans="1:10" x14ac:dyDescent="0.25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</row>
    <row r="207" spans="1:10" x14ac:dyDescent="0.25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</row>
    <row r="208" spans="1:10" x14ac:dyDescent="0.25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</row>
    <row r="209" spans="1:10" x14ac:dyDescent="0.25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</row>
    <row r="210" spans="1:10" x14ac:dyDescent="0.25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</row>
    <row r="211" spans="1:10" x14ac:dyDescent="0.25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</row>
    <row r="212" spans="1:10" x14ac:dyDescent="0.25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</row>
    <row r="213" spans="1:10" x14ac:dyDescent="0.25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</row>
    <row r="214" spans="1:10" x14ac:dyDescent="0.25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</row>
    <row r="215" spans="1:10" x14ac:dyDescent="0.2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</row>
    <row r="216" spans="1:10" x14ac:dyDescent="0.25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</row>
    <row r="217" spans="1:10" x14ac:dyDescent="0.25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</row>
    <row r="218" spans="1:10" x14ac:dyDescent="0.25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</row>
    <row r="219" spans="1:10" x14ac:dyDescent="0.25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</row>
    <row r="220" spans="1:10" x14ac:dyDescent="0.25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</row>
    <row r="221" spans="1:10" x14ac:dyDescent="0.25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</row>
    <row r="222" spans="1:10" x14ac:dyDescent="0.25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</row>
    <row r="223" spans="1:10" x14ac:dyDescent="0.25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</row>
    <row r="224" spans="1:10" x14ac:dyDescent="0.25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</row>
    <row r="225" spans="1:10" x14ac:dyDescent="0.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</row>
    <row r="226" spans="1:10" x14ac:dyDescent="0.25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</row>
    <row r="227" spans="1:10" x14ac:dyDescent="0.25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</row>
    <row r="228" spans="1:10" x14ac:dyDescent="0.25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</row>
    <row r="229" spans="1:10" x14ac:dyDescent="0.25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</row>
    <row r="230" spans="1:10" x14ac:dyDescent="0.25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</row>
    <row r="231" spans="1:10" x14ac:dyDescent="0.25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</row>
    <row r="232" spans="1:10" x14ac:dyDescent="0.25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</row>
    <row r="233" spans="1:10" x14ac:dyDescent="0.25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</row>
    <row r="234" spans="1:10" x14ac:dyDescent="0.25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</row>
    <row r="235" spans="1:10" x14ac:dyDescent="0.2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</row>
    <row r="236" spans="1:10" x14ac:dyDescent="0.25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</row>
    <row r="237" spans="1:10" x14ac:dyDescent="0.25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</row>
    <row r="238" spans="1:10" x14ac:dyDescent="0.25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</row>
    <row r="239" spans="1:10" x14ac:dyDescent="0.25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</row>
    <row r="240" spans="1:10" x14ac:dyDescent="0.25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</row>
    <row r="241" spans="1:10" x14ac:dyDescent="0.25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</row>
    <row r="242" spans="1:10" x14ac:dyDescent="0.25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</row>
    <row r="243" spans="1:10" x14ac:dyDescent="0.25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</row>
    <row r="244" spans="1:10" x14ac:dyDescent="0.25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</row>
    <row r="245" spans="1:10" x14ac:dyDescent="0.2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</row>
    <row r="246" spans="1:10" x14ac:dyDescent="0.25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</row>
    <row r="247" spans="1:10" x14ac:dyDescent="0.25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</row>
    <row r="248" spans="1:10" x14ac:dyDescent="0.25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</row>
    <row r="249" spans="1:10" x14ac:dyDescent="0.25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</row>
    <row r="250" spans="1:10" x14ac:dyDescent="0.25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</row>
    <row r="251" spans="1:10" x14ac:dyDescent="0.25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</row>
    <row r="252" spans="1:10" x14ac:dyDescent="0.25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</row>
    <row r="253" spans="1:10" x14ac:dyDescent="0.25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</row>
    <row r="254" spans="1:10" x14ac:dyDescent="0.25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</row>
    <row r="255" spans="1:10" x14ac:dyDescent="0.2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</row>
    <row r="256" spans="1:10" x14ac:dyDescent="0.25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</row>
    <row r="257" spans="1:10" x14ac:dyDescent="0.25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</row>
    <row r="258" spans="1:10" x14ac:dyDescent="0.25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</row>
    <row r="259" spans="1:10" x14ac:dyDescent="0.25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</row>
    <row r="260" spans="1:10" x14ac:dyDescent="0.25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</row>
    <row r="261" spans="1:10" x14ac:dyDescent="0.25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</row>
    <row r="262" spans="1:10" x14ac:dyDescent="0.25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</row>
    <row r="263" spans="1:10" x14ac:dyDescent="0.25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</row>
    <row r="264" spans="1:10" x14ac:dyDescent="0.25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</row>
    <row r="265" spans="1:10" x14ac:dyDescent="0.2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</row>
    <row r="266" spans="1:10" x14ac:dyDescent="0.25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</row>
    <row r="267" spans="1:10" x14ac:dyDescent="0.25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</row>
    <row r="268" spans="1:10" x14ac:dyDescent="0.25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</row>
    <row r="269" spans="1:10" x14ac:dyDescent="0.25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</row>
    <row r="270" spans="1:10" x14ac:dyDescent="0.25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</row>
    <row r="271" spans="1:10" x14ac:dyDescent="0.25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</row>
    <row r="272" spans="1:10" x14ac:dyDescent="0.25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</row>
    <row r="273" spans="1:10" x14ac:dyDescent="0.25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</row>
    <row r="274" spans="1:10" x14ac:dyDescent="0.25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</row>
    <row r="275" spans="1:10" x14ac:dyDescent="0.2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</row>
    <row r="276" spans="1:10" x14ac:dyDescent="0.25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</row>
    <row r="277" spans="1:10" x14ac:dyDescent="0.25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</row>
    <row r="278" spans="1:10" x14ac:dyDescent="0.25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</row>
    <row r="279" spans="1:10" x14ac:dyDescent="0.25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</row>
    <row r="280" spans="1:10" x14ac:dyDescent="0.25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</row>
    <row r="281" spans="1:10" x14ac:dyDescent="0.25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</row>
    <row r="282" spans="1:10" x14ac:dyDescent="0.25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</row>
    <row r="283" spans="1:10" x14ac:dyDescent="0.25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</row>
    <row r="284" spans="1:10" x14ac:dyDescent="0.25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</row>
    <row r="285" spans="1:10" x14ac:dyDescent="0.2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</row>
    <row r="286" spans="1:10" x14ac:dyDescent="0.25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</row>
    <row r="287" spans="1:10" x14ac:dyDescent="0.25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</row>
    <row r="288" spans="1:10" x14ac:dyDescent="0.25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</row>
    <row r="289" spans="1:10" x14ac:dyDescent="0.25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</row>
    <row r="290" spans="1:10" x14ac:dyDescent="0.25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</row>
    <row r="291" spans="1:10" x14ac:dyDescent="0.25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</row>
    <row r="292" spans="1:10" x14ac:dyDescent="0.25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</row>
    <row r="293" spans="1:10" x14ac:dyDescent="0.25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</row>
    <row r="294" spans="1:10" x14ac:dyDescent="0.25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</row>
    <row r="295" spans="1:10" x14ac:dyDescent="0.2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</row>
    <row r="296" spans="1:10" x14ac:dyDescent="0.25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</row>
    <row r="297" spans="1:10" x14ac:dyDescent="0.25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</row>
    <row r="298" spans="1:10" x14ac:dyDescent="0.25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</row>
    <row r="299" spans="1:10" x14ac:dyDescent="0.25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</row>
    <row r="300" spans="1:10" x14ac:dyDescent="0.25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</row>
    <row r="301" spans="1:10" x14ac:dyDescent="0.25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</row>
    <row r="302" spans="1:10" x14ac:dyDescent="0.25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</row>
    <row r="303" spans="1:10" x14ac:dyDescent="0.25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</row>
    <row r="304" spans="1:10" x14ac:dyDescent="0.25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</row>
    <row r="305" spans="1:10" x14ac:dyDescent="0.2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</row>
    <row r="306" spans="1:10" x14ac:dyDescent="0.25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</row>
    <row r="307" spans="1:10" x14ac:dyDescent="0.25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</row>
    <row r="308" spans="1:10" x14ac:dyDescent="0.25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</row>
    <row r="309" spans="1:10" x14ac:dyDescent="0.25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</row>
    <row r="310" spans="1:10" x14ac:dyDescent="0.25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</row>
    <row r="311" spans="1:10" x14ac:dyDescent="0.25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</row>
    <row r="312" spans="1:10" x14ac:dyDescent="0.25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</row>
    <row r="313" spans="1:10" x14ac:dyDescent="0.25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</row>
    <row r="314" spans="1:10" x14ac:dyDescent="0.25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</row>
    <row r="315" spans="1:10" x14ac:dyDescent="0.2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</row>
    <row r="316" spans="1:10" x14ac:dyDescent="0.25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</row>
    <row r="317" spans="1:10" x14ac:dyDescent="0.25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</row>
    <row r="318" spans="1:10" x14ac:dyDescent="0.25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</row>
    <row r="319" spans="1:10" x14ac:dyDescent="0.25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</row>
    <row r="320" spans="1:10" x14ac:dyDescent="0.25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</row>
    <row r="321" spans="1:10" x14ac:dyDescent="0.25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</row>
    <row r="322" spans="1:10" x14ac:dyDescent="0.25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</row>
    <row r="323" spans="1:10" x14ac:dyDescent="0.25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</row>
    <row r="324" spans="1:10" x14ac:dyDescent="0.25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</row>
    <row r="325" spans="1:10" x14ac:dyDescent="0.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</row>
    <row r="326" spans="1:10" x14ac:dyDescent="0.25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</row>
    <row r="327" spans="1:10" x14ac:dyDescent="0.25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</row>
    <row r="328" spans="1:10" x14ac:dyDescent="0.25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</row>
    <row r="329" spans="1:10" x14ac:dyDescent="0.25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</row>
    <row r="330" spans="1:10" x14ac:dyDescent="0.25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</row>
    <row r="331" spans="1:10" x14ac:dyDescent="0.25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</row>
    <row r="332" spans="1:10" x14ac:dyDescent="0.25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</row>
    <row r="333" spans="1:10" x14ac:dyDescent="0.25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</row>
    <row r="334" spans="1:10" x14ac:dyDescent="0.25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</row>
    <row r="335" spans="1:10" x14ac:dyDescent="0.2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</row>
    <row r="336" spans="1:10" x14ac:dyDescent="0.25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</row>
    <row r="337" spans="1:10" x14ac:dyDescent="0.25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</row>
    <row r="338" spans="1:10" x14ac:dyDescent="0.25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</row>
    <row r="339" spans="1:10" x14ac:dyDescent="0.25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</row>
    <row r="340" spans="1:10" x14ac:dyDescent="0.25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</row>
    <row r="341" spans="1:10" x14ac:dyDescent="0.25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</row>
    <row r="342" spans="1:10" x14ac:dyDescent="0.25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</row>
    <row r="343" spans="1:10" x14ac:dyDescent="0.25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</row>
    <row r="344" spans="1:10" x14ac:dyDescent="0.25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</row>
    <row r="345" spans="1:10" x14ac:dyDescent="0.2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</row>
    <row r="346" spans="1:10" x14ac:dyDescent="0.25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</row>
    <row r="347" spans="1:10" x14ac:dyDescent="0.25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</row>
    <row r="348" spans="1:10" x14ac:dyDescent="0.25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</row>
    <row r="349" spans="1:10" x14ac:dyDescent="0.25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</row>
    <row r="350" spans="1:10" x14ac:dyDescent="0.25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</row>
    <row r="351" spans="1:10" x14ac:dyDescent="0.25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</row>
    <row r="352" spans="1:10" x14ac:dyDescent="0.25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</row>
    <row r="353" spans="1:10" x14ac:dyDescent="0.25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</row>
    <row r="354" spans="1:10" x14ac:dyDescent="0.25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</row>
    <row r="355" spans="1:10" x14ac:dyDescent="0.2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</row>
    <row r="356" spans="1:10" x14ac:dyDescent="0.25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</row>
    <row r="357" spans="1:10" x14ac:dyDescent="0.25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</row>
    <row r="358" spans="1:10" x14ac:dyDescent="0.25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</row>
    <row r="359" spans="1:10" x14ac:dyDescent="0.25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</row>
    <row r="360" spans="1:10" x14ac:dyDescent="0.25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</row>
    <row r="361" spans="1:10" x14ac:dyDescent="0.25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</row>
    <row r="362" spans="1:10" x14ac:dyDescent="0.25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</row>
    <row r="363" spans="1:10" x14ac:dyDescent="0.25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</row>
    <row r="364" spans="1:10" x14ac:dyDescent="0.25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</row>
    <row r="365" spans="1:10" x14ac:dyDescent="0.2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</row>
    <row r="366" spans="1:10" x14ac:dyDescent="0.25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</row>
    <row r="367" spans="1:10" x14ac:dyDescent="0.25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</row>
    <row r="368" spans="1:10" x14ac:dyDescent="0.25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</row>
    <row r="369" spans="1:10" x14ac:dyDescent="0.25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</row>
    <row r="370" spans="1:10" x14ac:dyDescent="0.25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</row>
    <row r="371" spans="1:10" x14ac:dyDescent="0.25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</row>
    <row r="372" spans="1:10" x14ac:dyDescent="0.25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</row>
    <row r="373" spans="1:10" x14ac:dyDescent="0.25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</row>
    <row r="374" spans="1:10" x14ac:dyDescent="0.25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</row>
    <row r="375" spans="1:10" x14ac:dyDescent="0.2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</row>
    <row r="376" spans="1:10" x14ac:dyDescent="0.25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</row>
    <row r="377" spans="1:10" x14ac:dyDescent="0.25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</row>
    <row r="378" spans="1:10" x14ac:dyDescent="0.25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</row>
    <row r="379" spans="1:10" x14ac:dyDescent="0.25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</row>
    <row r="380" spans="1:10" x14ac:dyDescent="0.25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</row>
    <row r="381" spans="1:10" x14ac:dyDescent="0.25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</row>
    <row r="382" spans="1:10" x14ac:dyDescent="0.25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</row>
    <row r="383" spans="1:10" x14ac:dyDescent="0.25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</row>
    <row r="384" spans="1:10" x14ac:dyDescent="0.25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</row>
    <row r="385" spans="1:10" x14ac:dyDescent="0.2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</row>
    <row r="386" spans="1:10" x14ac:dyDescent="0.25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</row>
    <row r="387" spans="1:10" x14ac:dyDescent="0.25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</row>
    <row r="388" spans="1:10" x14ac:dyDescent="0.25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</row>
    <row r="389" spans="1:10" x14ac:dyDescent="0.25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</row>
    <row r="390" spans="1:10" x14ac:dyDescent="0.25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</row>
    <row r="391" spans="1:10" x14ac:dyDescent="0.25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</row>
    <row r="392" spans="1:10" x14ac:dyDescent="0.25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</row>
    <row r="393" spans="1:10" x14ac:dyDescent="0.25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</row>
    <row r="394" spans="1:10" x14ac:dyDescent="0.25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</row>
    <row r="395" spans="1:10" x14ac:dyDescent="0.2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</row>
    <row r="396" spans="1:10" x14ac:dyDescent="0.25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</row>
    <row r="397" spans="1:10" x14ac:dyDescent="0.25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</row>
    <row r="398" spans="1:10" x14ac:dyDescent="0.25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</row>
    <row r="399" spans="1:10" x14ac:dyDescent="0.25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</row>
    <row r="400" spans="1:10" x14ac:dyDescent="0.25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</row>
    <row r="401" spans="1:10" x14ac:dyDescent="0.25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</row>
    <row r="402" spans="1:10" x14ac:dyDescent="0.25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</row>
    <row r="403" spans="1:10" x14ac:dyDescent="0.25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</row>
    <row r="404" spans="1:10" x14ac:dyDescent="0.25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</row>
    <row r="405" spans="1:10" x14ac:dyDescent="0.2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</row>
    <row r="406" spans="1:10" x14ac:dyDescent="0.25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</row>
    <row r="407" spans="1:10" x14ac:dyDescent="0.25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</row>
    <row r="408" spans="1:10" x14ac:dyDescent="0.25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</row>
    <row r="409" spans="1:10" x14ac:dyDescent="0.25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</row>
    <row r="410" spans="1:10" x14ac:dyDescent="0.25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</row>
    <row r="411" spans="1:10" x14ac:dyDescent="0.25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</row>
    <row r="412" spans="1:10" x14ac:dyDescent="0.25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</row>
    <row r="413" spans="1:10" x14ac:dyDescent="0.25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</row>
    <row r="414" spans="1:10" x14ac:dyDescent="0.25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</row>
    <row r="415" spans="1:10" x14ac:dyDescent="0.2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</row>
    <row r="416" spans="1:10" x14ac:dyDescent="0.25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</row>
    <row r="417" spans="1:10" x14ac:dyDescent="0.25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</row>
    <row r="418" spans="1:10" x14ac:dyDescent="0.25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</row>
    <row r="419" spans="1:10" x14ac:dyDescent="0.25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</row>
    <row r="420" spans="1:10" x14ac:dyDescent="0.25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</row>
    <row r="421" spans="1:10" x14ac:dyDescent="0.25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</row>
    <row r="422" spans="1:10" x14ac:dyDescent="0.25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</row>
    <row r="423" spans="1:10" x14ac:dyDescent="0.25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</row>
    <row r="424" spans="1:10" x14ac:dyDescent="0.25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</row>
    <row r="425" spans="1:10" x14ac:dyDescent="0.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</row>
    <row r="426" spans="1:10" x14ac:dyDescent="0.25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</row>
    <row r="427" spans="1:10" x14ac:dyDescent="0.25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</row>
    <row r="428" spans="1:10" x14ac:dyDescent="0.25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</row>
    <row r="429" spans="1:10" x14ac:dyDescent="0.25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</row>
    <row r="430" spans="1:10" x14ac:dyDescent="0.25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</row>
    <row r="431" spans="1:10" x14ac:dyDescent="0.25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</row>
    <row r="432" spans="1:10" x14ac:dyDescent="0.25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</row>
    <row r="433" spans="1:10" x14ac:dyDescent="0.25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</row>
    <row r="434" spans="1:10" x14ac:dyDescent="0.25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</row>
    <row r="435" spans="1:10" x14ac:dyDescent="0.2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</row>
    <row r="436" spans="1:10" x14ac:dyDescent="0.25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</row>
    <row r="437" spans="1:10" x14ac:dyDescent="0.25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</row>
    <row r="438" spans="1:10" x14ac:dyDescent="0.25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</row>
    <row r="439" spans="1:10" x14ac:dyDescent="0.25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</row>
    <row r="440" spans="1:10" x14ac:dyDescent="0.25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</row>
    <row r="441" spans="1:10" x14ac:dyDescent="0.25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</row>
    <row r="442" spans="1:10" x14ac:dyDescent="0.25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</row>
    <row r="443" spans="1:10" x14ac:dyDescent="0.25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</row>
    <row r="444" spans="1:10" x14ac:dyDescent="0.25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</row>
    <row r="445" spans="1:10" x14ac:dyDescent="0.2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</row>
    <row r="446" spans="1:10" x14ac:dyDescent="0.25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</row>
    <row r="447" spans="1:10" x14ac:dyDescent="0.25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</row>
    <row r="448" spans="1:10" x14ac:dyDescent="0.25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</row>
    <row r="449" spans="1:10" x14ac:dyDescent="0.25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</row>
    <row r="450" spans="1:10" x14ac:dyDescent="0.25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</row>
    <row r="451" spans="1:10" x14ac:dyDescent="0.25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</row>
    <row r="452" spans="1:10" x14ac:dyDescent="0.25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</row>
    <row r="453" spans="1:10" x14ac:dyDescent="0.25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</row>
    <row r="454" spans="1:10" x14ac:dyDescent="0.25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</row>
    <row r="455" spans="1:10" x14ac:dyDescent="0.2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</row>
    <row r="456" spans="1:10" x14ac:dyDescent="0.25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</row>
    <row r="457" spans="1:10" x14ac:dyDescent="0.25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</row>
    <row r="458" spans="1:10" x14ac:dyDescent="0.25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</row>
    <row r="459" spans="1:10" x14ac:dyDescent="0.25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</row>
    <row r="460" spans="1:10" x14ac:dyDescent="0.25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</row>
    <row r="461" spans="1:10" x14ac:dyDescent="0.25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</row>
    <row r="462" spans="1:10" x14ac:dyDescent="0.25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</row>
    <row r="463" spans="1:10" x14ac:dyDescent="0.25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</row>
    <row r="464" spans="1:10" x14ac:dyDescent="0.25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</row>
    <row r="465" spans="1:10" x14ac:dyDescent="0.2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</row>
    <row r="466" spans="1:10" x14ac:dyDescent="0.25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</row>
    <row r="467" spans="1:10" x14ac:dyDescent="0.25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</row>
    <row r="468" spans="1:10" x14ac:dyDescent="0.25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</row>
    <row r="469" spans="1:10" x14ac:dyDescent="0.25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</row>
    <row r="470" spans="1:10" x14ac:dyDescent="0.25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</row>
    <row r="471" spans="1:10" x14ac:dyDescent="0.25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</row>
    <row r="472" spans="1:10" x14ac:dyDescent="0.25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</row>
    <row r="473" spans="1:10" x14ac:dyDescent="0.25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</row>
    <row r="474" spans="1:10" x14ac:dyDescent="0.25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</row>
    <row r="475" spans="1:10" x14ac:dyDescent="0.2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</row>
    <row r="476" spans="1:10" x14ac:dyDescent="0.25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</row>
    <row r="477" spans="1:10" x14ac:dyDescent="0.25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</row>
    <row r="478" spans="1:10" x14ac:dyDescent="0.25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</row>
    <row r="479" spans="1:10" x14ac:dyDescent="0.25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</row>
    <row r="480" spans="1:10" x14ac:dyDescent="0.25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</row>
    <row r="481" spans="1:10" x14ac:dyDescent="0.25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</row>
    <row r="482" spans="1:10" x14ac:dyDescent="0.25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</row>
    <row r="483" spans="1:10" x14ac:dyDescent="0.25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</row>
    <row r="484" spans="1:10" x14ac:dyDescent="0.25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</row>
    <row r="485" spans="1:10" x14ac:dyDescent="0.2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</row>
    <row r="486" spans="1:10" x14ac:dyDescent="0.25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</row>
    <row r="487" spans="1:10" x14ac:dyDescent="0.25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</row>
    <row r="488" spans="1:10" x14ac:dyDescent="0.25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</row>
    <row r="489" spans="1:10" x14ac:dyDescent="0.25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</row>
    <row r="490" spans="1:10" x14ac:dyDescent="0.25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</row>
    <row r="491" spans="1:10" x14ac:dyDescent="0.25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</row>
    <row r="492" spans="1:10" x14ac:dyDescent="0.25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</row>
    <row r="493" spans="1:10" x14ac:dyDescent="0.25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</row>
    <row r="494" spans="1:10" x14ac:dyDescent="0.25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</row>
    <row r="495" spans="1:10" x14ac:dyDescent="0.2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</row>
    <row r="496" spans="1:10" x14ac:dyDescent="0.25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</row>
    <row r="497" spans="1:10" x14ac:dyDescent="0.25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</row>
    <row r="498" spans="1:10" x14ac:dyDescent="0.25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</row>
    <row r="499" spans="1:10" x14ac:dyDescent="0.25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</row>
    <row r="500" spans="1:10" x14ac:dyDescent="0.25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</row>
  </sheetData>
  <sheetProtection algorithmName="SHA-512" hashValue="r3WWHhYCAfoq7YNKlziJtt5kOXOtPx0itAwzw7AYrEbi5vf+b3NTGeV8pgeGs5h/wFFFEVm1YQx5/m6RxVIreg==" saltValue="QM1nPBh5o9YpGEf2nAhNtw==" spinCount="100000" sheet="1" objects="1" scenarios="1"/>
  <mergeCells count="3">
    <mergeCell ref="A1:S1"/>
    <mergeCell ref="A3:J3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GUIDE</vt:lpstr>
      <vt:lpstr>REFERENTIEL</vt:lpstr>
      <vt:lpstr>IMPORT</vt:lpstr>
      <vt:lpstr>SAISIE</vt:lpstr>
      <vt:lpstr>CALCUL</vt:lpstr>
      <vt:lpstr>RAPPORT</vt:lpstr>
      <vt:lpstr>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Melvyna SODJI</dc:creator>
  <cp:lastModifiedBy>Melvyna SODJI</cp:lastModifiedBy>
  <dcterms:created xsi:type="dcterms:W3CDTF">2026-09-09T10:44:34Z</dcterms:created>
  <dcterms:modified xsi:type="dcterms:W3CDTF">2026-09-24T07:38:13Z</dcterms:modified>
</cp:coreProperties>
</file>